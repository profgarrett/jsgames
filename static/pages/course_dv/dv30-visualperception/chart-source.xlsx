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dg00008/Documents/profgarrett/jsgames/static/pages/course_dv/dv30-visualperception/"/>
    </mc:Choice>
  </mc:AlternateContent>
  <xr:revisionPtr revIDLastSave="0" documentId="13_ncr:1_{294CB264-07EC-5944-9287-2939DF7E5711}" xr6:coauthVersionLast="47" xr6:coauthVersionMax="47" xr10:uidLastSave="{00000000-0000-0000-0000-000000000000}"/>
  <bookViews>
    <workbookView xWindow="51920" yWindow="-7240" windowWidth="38240" windowHeight="20840" activeTab="2" xr2:uid="{63643A24-ED70-7744-842A-51F551DEBCFF}"/>
  </bookViews>
  <sheets>
    <sheet name="Sheet1" sheetId="1" r:id="rId1"/>
    <sheet name="Sheet2" sheetId="2" r:id="rId2"/>
    <sheet name="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2" i="3"/>
  <c r="C32" i="1"/>
  <c r="C31" i="1"/>
  <c r="A19" i="1"/>
  <c r="A20" i="1" s="1"/>
</calcChain>
</file>

<file path=xl/sharedStrings.xml><?xml version="1.0" encoding="utf-8"?>
<sst xmlns="http://schemas.openxmlformats.org/spreadsheetml/2006/main" count="40" uniqueCount="37">
  <si>
    <t>Start</t>
  </si>
  <si>
    <t>End</t>
  </si>
  <si>
    <t>Small Relative Change</t>
  </si>
  <si>
    <t>Big Relative Change</t>
  </si>
  <si>
    <t>Sales</t>
  </si>
  <si>
    <t>Year 1</t>
  </si>
  <si>
    <t>Year 2</t>
  </si>
  <si>
    <t>Year 3</t>
  </si>
  <si>
    <t>Change in Sales from Year 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</si>
  <si>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</si>
  <si>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</si>
  <si>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</si>
  <si>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</si>
  <si>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</si>
  <si>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</si>
  <si>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</si>
  <si>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</si>
  <si>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</si>
  <si>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</si>
  <si>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</si>
  <si>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</si>
  <si>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 A</t>
  </si>
  <si>
    <t>Region B</t>
  </si>
  <si>
    <t>Region C</t>
  </si>
  <si>
    <t>Region D</t>
  </si>
  <si>
    <t>Region E</t>
  </si>
  <si>
    <t>Region F</t>
  </si>
  <si>
    <t>Region</t>
  </si>
  <si>
    <t>Nevada</t>
  </si>
  <si>
    <t>West Virginia</t>
  </si>
  <si>
    <t>(East) Virginia</t>
  </si>
  <si>
    <t>California</t>
  </si>
  <si>
    <t>Sales Tax</t>
  </si>
  <si>
    <t>Owed</t>
  </si>
  <si>
    <t>No</t>
  </si>
  <si>
    <t>Yes</t>
  </si>
  <si>
    <t>Grown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</si>
</sst>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_);[Red]\(&quot;$&quot;#,##0.0\)"/>
  </numFmts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6" fontId="0" fillId="0" borderId="0" xfId="0" applyNumberFormat="1"/>
    <xf numFmtId="164" fontId="0" fillId="0" borderId="0" xfId="0" applyNumberFormat="1"/>
    <xf numFmtId="0" fontId="2" fillId="2" borderId="0" xfId="0" applyFont="1" applyFill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Sheet1!$B$3:$C$3</c:f>
              <c:strCache>
                <c:ptCount val="2"/>
                <c:pt idx="0">
                  <c:v>Small Relative Change</c:v>
                </c:pt>
                <c:pt idx="1">
                  <c:v>Big Relative Change</c:v>
                </c:pt>
              </c:strCache>
            </c:strRef>
          </c:cat>
          <c:val>
            <c:numRef>
              <c:f>Sheet1!$B$4:$C$4</c:f>
              <c:numCache>
                <c:formatCode>General</c:formatCode>
                <c:ptCount val="2"/>
                <c:pt idx="0">
                  <c:v>100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8-FD43-874B-267172685523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Sheet1!$B$3:$C$3</c:f>
              <c:strCache>
                <c:ptCount val="2"/>
                <c:pt idx="0">
                  <c:v>Small Relative Change</c:v>
                </c:pt>
                <c:pt idx="1">
                  <c:v>Big Relative Change</c:v>
                </c:pt>
              </c:strCache>
            </c:strRef>
          </c:cat>
          <c:val>
            <c:numRef>
              <c:f>Sheet1!$B$5:$C$5</c:f>
              <c:numCache>
                <c:formatCode>General</c:formatCode>
                <c:ptCount val="2"/>
                <c:pt idx="0">
                  <c:v>105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58-FD43-874B-267172685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498848"/>
        <c:axId val="335487920"/>
      </c:barChart>
      <c:catAx>
        <c:axId val="33549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87920"/>
        <c:crosses val="autoZero"/>
        <c:auto val="1"/>
        <c:lblAlgn val="ctr"/>
        <c:lblOffset val="100"/>
        <c:noMultiLvlLbl val="0"/>
      </c:catAx>
      <c:valAx>
        <c:axId val="3354879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549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Sales</a:t>
            </a:r>
            <a:r>
              <a:rPr lang="en-US" sz="2000" baseline="0"/>
              <a:t> (misleading axis at 100)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Sheet1!$A$30:$A$32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Sheet1!$B$30:$B$32</c:f>
              <c:numCache>
                <c:formatCode>General</c:formatCode>
                <c:ptCount val="3"/>
                <c:pt idx="0">
                  <c:v>100</c:v>
                </c:pt>
                <c:pt idx="1">
                  <c:v>105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C-1244-AC1E-1D12EC193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268960"/>
        <c:axId val="249261968"/>
      </c:barChart>
      <c:catAx>
        <c:axId val="24926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261968"/>
        <c:crosses val="autoZero"/>
        <c:auto val="1"/>
        <c:lblAlgn val="ctr"/>
        <c:lblOffset val="100"/>
        <c:noMultiLvlLbl val="0"/>
      </c:catAx>
      <c:valAx>
        <c:axId val="24926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26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Sales (axis at 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Sheet1!$A$30:$A$32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Sheet1!$B$30:$B$32</c:f>
              <c:numCache>
                <c:formatCode>General</c:formatCode>
                <c:ptCount val="3"/>
                <c:pt idx="0">
                  <c:v>100</c:v>
                </c:pt>
                <c:pt idx="1">
                  <c:v>105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8-5840-93C8-B023C3538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268960"/>
        <c:axId val="249261968"/>
      </c:barChart>
      <c:catAx>
        <c:axId val="24926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261968"/>
        <c:crosses val="autoZero"/>
        <c:auto val="1"/>
        <c:lblAlgn val="ctr"/>
        <c:lblOffset val="100"/>
        <c:noMultiLvlLbl val="0"/>
      </c:catAx>
      <c:valAx>
        <c:axId val="249261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26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Sheet1!$C$29</c:f>
              <c:strCache>
                <c:ptCount val="1"/>
                <c:pt idx="0">
                  <c:v>Change in Sales from Year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Sheet1!$A$30:$A$32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Sheet1!$C$30:$C$32</c:f>
              <c:numCache>
                <c:formatCode>0%</c:formatCode>
                <c:ptCount val="3"/>
                <c:pt idx="0" formatCode="General">
                  <c:v>0</c:v>
                </c:pt>
                <c:pt idx="1">
                  <c:v>0.05</c:v>
                </c:pt>
                <c:pt idx="2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E-6C43-9EA8-0CF1BAC8B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268960"/>
        <c:axId val="249261968"/>
      </c:lineChart>
      <c:catAx>
        <c:axId val="24926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261968"/>
        <c:crosses val="autoZero"/>
        <c:auto val="1"/>
        <c:lblAlgn val="ctr"/>
        <c:lblOffset val="100"/>
        <c:noMultiLvlLbl val="0"/>
      </c:catAx>
      <c:valAx>
        <c:axId val="24926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26896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Region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2"/>
                <c:pt idx="0">
                  <c:v>30</c:v>
                </c:pt>
                <c:pt idx="1">
                  <c:v>35</c:v>
                </c:pt>
                <c:pt idx="2">
                  <c:v>36</c:v>
                </c:pt>
                <c:pt idx="3">
                  <c:v>38</c:v>
                </c:pt>
                <c:pt idx="4">
                  <c:v>48</c:v>
                </c:pt>
                <c:pt idx="5">
                  <c:v>46</c:v>
                </c:pt>
                <c:pt idx="6">
                  <c:v>50</c:v>
                </c:pt>
                <c:pt idx="7">
                  <c:v>52</c:v>
                </c:pt>
                <c:pt idx="8">
                  <c:v>61</c:v>
                </c:pt>
                <c:pt idx="9">
                  <c:v>69</c:v>
                </c:pt>
                <c:pt idx="10">
                  <c:v>67</c:v>
                </c:pt>
                <c:pt idx="1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7B-2A40-A0B3-0BF3DB334BD2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Region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2"/>
                <c:pt idx="0">
                  <c:v>28</c:v>
                </c:pt>
                <c:pt idx="1">
                  <c:v>32</c:v>
                </c:pt>
                <c:pt idx="2">
                  <c:v>41</c:v>
                </c:pt>
                <c:pt idx="3">
                  <c:v>48</c:v>
                </c:pt>
                <c:pt idx="4">
                  <c:v>54</c:v>
                </c:pt>
                <c:pt idx="5">
                  <c:v>66</c:v>
                </c:pt>
                <c:pt idx="6">
                  <c:v>78</c:v>
                </c:pt>
                <c:pt idx="7">
                  <c:v>83</c:v>
                </c:pt>
                <c:pt idx="8">
                  <c:v>93</c:v>
                </c:pt>
                <c:pt idx="9">
                  <c:v>97</c:v>
                </c:pt>
                <c:pt idx="10">
                  <c:v>97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7B-2A40-A0B3-0BF3DB334BD2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Region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Sheet2!$D$4:$D$15</c:f>
              <c:numCache>
                <c:formatCode>General</c:formatCode>
                <c:ptCount val="12"/>
                <c:pt idx="0">
                  <c:v>37</c:v>
                </c:pt>
                <c:pt idx="1">
                  <c:v>36</c:v>
                </c:pt>
                <c:pt idx="2">
                  <c:v>42</c:v>
                </c:pt>
                <c:pt idx="3">
                  <c:v>43</c:v>
                </c:pt>
                <c:pt idx="4">
                  <c:v>43</c:v>
                </c:pt>
                <c:pt idx="5">
                  <c:v>53</c:v>
                </c:pt>
                <c:pt idx="6">
                  <c:v>59</c:v>
                </c:pt>
                <c:pt idx="7">
                  <c:v>57</c:v>
                </c:pt>
                <c:pt idx="8">
                  <c:v>67</c:v>
                </c:pt>
                <c:pt idx="9">
                  <c:v>74</c:v>
                </c:pt>
                <c:pt idx="10">
                  <c:v>77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7B-2A40-A0B3-0BF3DB334BD2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Region 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Sheet2!$E$4:$E$15</c:f>
              <c:numCache>
                <c:formatCode>General</c:formatCode>
                <c:ptCount val="12"/>
                <c:pt idx="0">
                  <c:v>36</c:v>
                </c:pt>
                <c:pt idx="1">
                  <c:v>42</c:v>
                </c:pt>
                <c:pt idx="2">
                  <c:v>44</c:v>
                </c:pt>
                <c:pt idx="3">
                  <c:v>51</c:v>
                </c:pt>
                <c:pt idx="4">
                  <c:v>54</c:v>
                </c:pt>
                <c:pt idx="5">
                  <c:v>56</c:v>
                </c:pt>
                <c:pt idx="6">
                  <c:v>62</c:v>
                </c:pt>
                <c:pt idx="7">
                  <c:v>64</c:v>
                </c:pt>
                <c:pt idx="8">
                  <c:v>70</c:v>
                </c:pt>
                <c:pt idx="9">
                  <c:v>74</c:v>
                </c:pt>
                <c:pt idx="10">
                  <c:v>81</c:v>
                </c:pt>
                <c:pt idx="11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7B-2A40-A0B3-0BF3DB334BD2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Region 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Sheet2!$F$4:$F$15</c:f>
              <c:numCache>
                <c:formatCode>General</c:formatCode>
                <c:ptCount val="12"/>
                <c:pt idx="0">
                  <c:v>20</c:v>
                </c:pt>
                <c:pt idx="1">
                  <c:v>17</c:v>
                </c:pt>
                <c:pt idx="2">
                  <c:v>24</c:v>
                </c:pt>
                <c:pt idx="3">
                  <c:v>31</c:v>
                </c:pt>
                <c:pt idx="4">
                  <c:v>32</c:v>
                </c:pt>
                <c:pt idx="5">
                  <c:v>30</c:v>
                </c:pt>
                <c:pt idx="6">
                  <c:v>38</c:v>
                </c:pt>
                <c:pt idx="7">
                  <c:v>47</c:v>
                </c:pt>
                <c:pt idx="8">
                  <c:v>46</c:v>
                </c:pt>
                <c:pt idx="9">
                  <c:v>56</c:v>
                </c:pt>
                <c:pt idx="10">
                  <c:v>58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7B-2A40-A0B3-0BF3DB334BD2}"/>
            </c:ext>
          </c:extLst>
        </c:ser>
        <c:ser>
          <c:idx val="5"/>
          <c:order val="5"/>
          <c:tx>
            <c:strRef>
              <c:f>Sheet2!$G$3</c:f>
              <c:strCache>
                <c:ptCount val="1"/>
                <c:pt idx="0">
                  <c:v>Region 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Sheet2!$G$4:$G$15</c:f>
              <c:numCache>
                <c:formatCode>General</c:formatCode>
                <c:ptCount val="12"/>
                <c:pt idx="0">
                  <c:v>34</c:v>
                </c:pt>
                <c:pt idx="1">
                  <c:v>38</c:v>
                </c:pt>
                <c:pt idx="2">
                  <c:v>36</c:v>
                </c:pt>
                <c:pt idx="3">
                  <c:v>32</c:v>
                </c:pt>
                <c:pt idx="4">
                  <c:v>28</c:v>
                </c:pt>
                <c:pt idx="5">
                  <c:v>20</c:v>
                </c:pt>
                <c:pt idx="6">
                  <c:v>12</c:v>
                </c:pt>
                <c:pt idx="7">
                  <c:v>13</c:v>
                </c:pt>
                <c:pt idx="8">
                  <c:v>17</c:v>
                </c:pt>
                <c:pt idx="9">
                  <c:v>12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7B-2A40-A0B3-0BF3DB334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700800"/>
        <c:axId val="1505702592"/>
      </c:lineChart>
      <c:catAx>
        <c:axId val="150570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02592"/>
        <c:crosses val="autoZero"/>
        <c:auto val="1"/>
        <c:lblAlgn val="ctr"/>
        <c:lblOffset val="100"/>
        <c:noMultiLvlLbl val="0"/>
      </c:catAx>
      <c:valAx>
        <c:axId val="1505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0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977123912142563E-2"/>
          <c:y val="4.0441176470588237E-2"/>
          <c:w val="0.64528603398259432"/>
          <c:h val="0.78361654701250583"/>
        </c:manualLayout>
      </c:layout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Region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2"/>
                <c:pt idx="0">
                  <c:v>30</c:v>
                </c:pt>
                <c:pt idx="1">
                  <c:v>35</c:v>
                </c:pt>
                <c:pt idx="2">
                  <c:v>36</c:v>
                </c:pt>
                <c:pt idx="3">
                  <c:v>38</c:v>
                </c:pt>
                <c:pt idx="4">
                  <c:v>48</c:v>
                </c:pt>
                <c:pt idx="5">
                  <c:v>46</c:v>
                </c:pt>
                <c:pt idx="6">
                  <c:v>50</c:v>
                </c:pt>
                <c:pt idx="7">
                  <c:v>52</c:v>
                </c:pt>
                <c:pt idx="8">
                  <c:v>61</c:v>
                </c:pt>
                <c:pt idx="9">
                  <c:v>69</c:v>
                </c:pt>
                <c:pt idx="10">
                  <c:v>67</c:v>
                </c:pt>
                <c:pt idx="1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D-E942-A6AB-9B6331197753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Region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2"/>
                <c:pt idx="0">
                  <c:v>28</c:v>
                </c:pt>
                <c:pt idx="1">
                  <c:v>32</c:v>
                </c:pt>
                <c:pt idx="2">
                  <c:v>41</c:v>
                </c:pt>
                <c:pt idx="3">
                  <c:v>48</c:v>
                </c:pt>
                <c:pt idx="4">
                  <c:v>54</c:v>
                </c:pt>
                <c:pt idx="5">
                  <c:v>66</c:v>
                </c:pt>
                <c:pt idx="6">
                  <c:v>78</c:v>
                </c:pt>
                <c:pt idx="7">
                  <c:v>83</c:v>
                </c:pt>
                <c:pt idx="8">
                  <c:v>93</c:v>
                </c:pt>
                <c:pt idx="9">
                  <c:v>97</c:v>
                </c:pt>
                <c:pt idx="10">
                  <c:v>97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7D-E942-A6AB-9B6331197753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Region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Sheet2!$D$4:$D$15</c:f>
              <c:numCache>
                <c:formatCode>General</c:formatCode>
                <c:ptCount val="12"/>
                <c:pt idx="0">
                  <c:v>37</c:v>
                </c:pt>
                <c:pt idx="1">
                  <c:v>36</c:v>
                </c:pt>
                <c:pt idx="2">
                  <c:v>42</c:v>
                </c:pt>
                <c:pt idx="3">
                  <c:v>43</c:v>
                </c:pt>
                <c:pt idx="4">
                  <c:v>43</c:v>
                </c:pt>
                <c:pt idx="5">
                  <c:v>53</c:v>
                </c:pt>
                <c:pt idx="6">
                  <c:v>59</c:v>
                </c:pt>
                <c:pt idx="7">
                  <c:v>57</c:v>
                </c:pt>
                <c:pt idx="8">
                  <c:v>67</c:v>
                </c:pt>
                <c:pt idx="9">
                  <c:v>74</c:v>
                </c:pt>
                <c:pt idx="10">
                  <c:v>77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7D-E942-A6AB-9B6331197753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Region 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Sheet2!$E$4:$E$15</c:f>
              <c:numCache>
                <c:formatCode>General</c:formatCode>
                <c:ptCount val="12"/>
                <c:pt idx="0">
                  <c:v>36</c:v>
                </c:pt>
                <c:pt idx="1">
                  <c:v>42</c:v>
                </c:pt>
                <c:pt idx="2">
                  <c:v>44</c:v>
                </c:pt>
                <c:pt idx="3">
                  <c:v>51</c:v>
                </c:pt>
                <c:pt idx="4">
                  <c:v>54</c:v>
                </c:pt>
                <c:pt idx="5">
                  <c:v>56</c:v>
                </c:pt>
                <c:pt idx="6">
                  <c:v>62</c:v>
                </c:pt>
                <c:pt idx="7">
                  <c:v>64</c:v>
                </c:pt>
                <c:pt idx="8">
                  <c:v>70</c:v>
                </c:pt>
                <c:pt idx="9">
                  <c:v>74</c:v>
                </c:pt>
                <c:pt idx="10">
                  <c:v>81</c:v>
                </c:pt>
                <c:pt idx="11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7D-E942-A6AB-9B6331197753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Region 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Sheet2!$F$4:$F$15</c:f>
              <c:numCache>
                <c:formatCode>General</c:formatCode>
                <c:ptCount val="12"/>
                <c:pt idx="0">
                  <c:v>20</c:v>
                </c:pt>
                <c:pt idx="1">
                  <c:v>17</c:v>
                </c:pt>
                <c:pt idx="2">
                  <c:v>24</c:v>
                </c:pt>
                <c:pt idx="3">
                  <c:v>31</c:v>
                </c:pt>
                <c:pt idx="4">
                  <c:v>32</c:v>
                </c:pt>
                <c:pt idx="5">
                  <c:v>30</c:v>
                </c:pt>
                <c:pt idx="6">
                  <c:v>38</c:v>
                </c:pt>
                <c:pt idx="7">
                  <c:v>47</c:v>
                </c:pt>
                <c:pt idx="8">
                  <c:v>46</c:v>
                </c:pt>
                <c:pt idx="9">
                  <c:v>56</c:v>
                </c:pt>
                <c:pt idx="10">
                  <c:v>58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7D-E942-A6AB-9B6331197753}"/>
            </c:ext>
          </c:extLst>
        </c:ser>
        <c:ser>
          <c:idx val="5"/>
          <c:order val="5"/>
          <c:tx>
            <c:strRef>
              <c:f>Sheet2!$G$3</c:f>
              <c:strCache>
                <c:ptCount val="1"/>
                <c:pt idx="0">
                  <c:v>Region 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Sheet2!$G$4:$G$15</c:f>
              <c:numCache>
                <c:formatCode>General</c:formatCode>
                <c:ptCount val="12"/>
                <c:pt idx="0">
                  <c:v>34</c:v>
                </c:pt>
                <c:pt idx="1">
                  <c:v>38</c:v>
                </c:pt>
                <c:pt idx="2">
                  <c:v>36</c:v>
                </c:pt>
                <c:pt idx="3">
                  <c:v>32</c:v>
                </c:pt>
                <c:pt idx="4">
                  <c:v>28</c:v>
                </c:pt>
                <c:pt idx="5">
                  <c:v>20</c:v>
                </c:pt>
                <c:pt idx="6">
                  <c:v>12</c:v>
                </c:pt>
                <c:pt idx="7">
                  <c:v>13</c:v>
                </c:pt>
                <c:pt idx="8">
                  <c:v>17</c:v>
                </c:pt>
                <c:pt idx="9">
                  <c:v>12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7D-E942-A6AB-9B6331197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700800"/>
        <c:axId val="1505702592"/>
      </c:lineChart>
      <c:catAx>
        <c:axId val="150570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02592"/>
        <c:crosses val="autoZero"/>
        <c:auto val="1"/>
        <c:lblAlgn val="ctr"/>
        <c:lblOffset val="100"/>
        <c:noMultiLvlLbl val="0"/>
      </c:catAx>
      <c:valAx>
        <c:axId val="1505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0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are increasing for both regions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3458822372564199E-2"/>
          <c:y val="0.31397159878108266"/>
          <c:w val="0.87210688693044236"/>
          <c:h val="0.28056654851073121"/>
        </c:manualLayout>
      </c:layout>
      <c:lineChart>
        <c:grouping val="standard"/>
        <c:varyColors val="0"/>
        <c:ser>
          <c:idx val="2"/>
          <c:order val="0"/>
          <c:tx>
            <c:strRef>
              <c:f>Sheet2!$B$3</c:f>
              <c:strCache>
                <c:ptCount val="1"/>
                <c:pt idx="0">
                  <c:v>Region A</c:v>
                </c:pt>
              </c:strCache>
            </c:strRef>
          </c:tx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2"/>
                <c:pt idx="0">
                  <c:v>30</c:v>
                </c:pt>
                <c:pt idx="1">
                  <c:v>35</c:v>
                </c:pt>
                <c:pt idx="2">
                  <c:v>36</c:v>
                </c:pt>
                <c:pt idx="3">
                  <c:v>38</c:v>
                </c:pt>
                <c:pt idx="4">
                  <c:v>48</c:v>
                </c:pt>
                <c:pt idx="5">
                  <c:v>46</c:v>
                </c:pt>
                <c:pt idx="6">
                  <c:v>50</c:v>
                </c:pt>
                <c:pt idx="7">
                  <c:v>52</c:v>
                </c:pt>
                <c:pt idx="8">
                  <c:v>61</c:v>
                </c:pt>
                <c:pt idx="9">
                  <c:v>69</c:v>
                </c:pt>
                <c:pt idx="10">
                  <c:v>67</c:v>
                </c:pt>
                <c:pt idx="1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26-A14E-9C74-8A938D8F0DC9}"/>
            </c:ext>
          </c:extLst>
        </c:ser>
        <c:ser>
          <c:idx val="3"/>
          <c:order val="1"/>
          <c:tx>
            <c:strRef>
              <c:f>Sheet2!$C$3</c:f>
              <c:strCache>
                <c:ptCount val="1"/>
                <c:pt idx="0">
                  <c:v>Region B</c:v>
                </c:pt>
              </c:strCache>
            </c:strRef>
          </c:tx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2"/>
                <c:pt idx="0">
                  <c:v>28</c:v>
                </c:pt>
                <c:pt idx="1">
                  <c:v>32</c:v>
                </c:pt>
                <c:pt idx="2">
                  <c:v>41</c:v>
                </c:pt>
                <c:pt idx="3">
                  <c:v>48</c:v>
                </c:pt>
                <c:pt idx="4">
                  <c:v>54</c:v>
                </c:pt>
                <c:pt idx="5">
                  <c:v>66</c:v>
                </c:pt>
                <c:pt idx="6">
                  <c:v>78</c:v>
                </c:pt>
                <c:pt idx="7">
                  <c:v>83</c:v>
                </c:pt>
                <c:pt idx="8">
                  <c:v>93</c:v>
                </c:pt>
                <c:pt idx="9">
                  <c:v>97</c:v>
                </c:pt>
                <c:pt idx="10">
                  <c:v>97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26-A14E-9C74-8A938D8F0DC9}"/>
            </c:ext>
          </c:extLst>
        </c:ser>
        <c:ser>
          <c:idx val="0"/>
          <c:order val="2"/>
          <c:tx>
            <c:strRef>
              <c:f>Sheet2!$B$3</c:f>
              <c:strCache>
                <c:ptCount val="1"/>
                <c:pt idx="0">
                  <c:v>Region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2"/>
                <c:pt idx="0">
                  <c:v>30</c:v>
                </c:pt>
                <c:pt idx="1">
                  <c:v>35</c:v>
                </c:pt>
                <c:pt idx="2">
                  <c:v>36</c:v>
                </c:pt>
                <c:pt idx="3">
                  <c:v>38</c:v>
                </c:pt>
                <c:pt idx="4">
                  <c:v>48</c:v>
                </c:pt>
                <c:pt idx="5">
                  <c:v>46</c:v>
                </c:pt>
                <c:pt idx="6">
                  <c:v>50</c:v>
                </c:pt>
                <c:pt idx="7">
                  <c:v>52</c:v>
                </c:pt>
                <c:pt idx="8">
                  <c:v>61</c:v>
                </c:pt>
                <c:pt idx="9">
                  <c:v>69</c:v>
                </c:pt>
                <c:pt idx="10">
                  <c:v>67</c:v>
                </c:pt>
                <c:pt idx="1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26-A14E-9C74-8A938D8F0DC9}"/>
            </c:ext>
          </c:extLst>
        </c:ser>
        <c:ser>
          <c:idx val="1"/>
          <c:order val="3"/>
          <c:tx>
            <c:strRef>
              <c:f>Sheet2!$C$3</c:f>
              <c:strCache>
                <c:ptCount val="1"/>
                <c:pt idx="0">
                  <c:v>Region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2"/>
                <c:pt idx="0">
                  <c:v>28</c:v>
                </c:pt>
                <c:pt idx="1">
                  <c:v>32</c:v>
                </c:pt>
                <c:pt idx="2">
                  <c:v>41</c:v>
                </c:pt>
                <c:pt idx="3">
                  <c:v>48</c:v>
                </c:pt>
                <c:pt idx="4">
                  <c:v>54</c:v>
                </c:pt>
                <c:pt idx="5">
                  <c:v>66</c:v>
                </c:pt>
                <c:pt idx="6">
                  <c:v>78</c:v>
                </c:pt>
                <c:pt idx="7">
                  <c:v>83</c:v>
                </c:pt>
                <c:pt idx="8">
                  <c:v>93</c:v>
                </c:pt>
                <c:pt idx="9">
                  <c:v>97</c:v>
                </c:pt>
                <c:pt idx="10">
                  <c:v>97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26-A14E-9C74-8A938D8F0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079872"/>
        <c:axId val="1506237888"/>
      </c:lineChart>
      <c:catAx>
        <c:axId val="150607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237888"/>
        <c:crosses val="autoZero"/>
        <c:auto val="1"/>
        <c:lblAlgn val="ctr"/>
        <c:lblOffset val="100"/>
        <c:noMultiLvlLbl val="0"/>
      </c:catAx>
      <c:valAx>
        <c:axId val="150623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798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160950032138678"/>
          <c:y val="0.79351630303917542"/>
          <c:w val="0.34168595348460562"/>
          <c:h val="4.90091140864754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are increasing for both regions</a:t>
            </a:r>
          </a:p>
        </c:rich>
      </c:tx>
      <c:layout>
        <c:manualLayout>
          <c:xMode val="edge"/>
          <c:yMode val="edge"/>
          <c:x val="3.9683486507180767E-3"/>
          <c:y val="2.28592136430506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458822372564199E-2"/>
          <c:y val="0.31397159878108266"/>
          <c:w val="0.87210688693044236"/>
          <c:h val="0.28056654851073121"/>
        </c:manualLayout>
      </c:layout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Region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2"/>
                <c:pt idx="0">
                  <c:v>30</c:v>
                </c:pt>
                <c:pt idx="1">
                  <c:v>35</c:v>
                </c:pt>
                <c:pt idx="2">
                  <c:v>36</c:v>
                </c:pt>
                <c:pt idx="3">
                  <c:v>38</c:v>
                </c:pt>
                <c:pt idx="4">
                  <c:v>48</c:v>
                </c:pt>
                <c:pt idx="5">
                  <c:v>46</c:v>
                </c:pt>
                <c:pt idx="6">
                  <c:v>50</c:v>
                </c:pt>
                <c:pt idx="7">
                  <c:v>52</c:v>
                </c:pt>
                <c:pt idx="8">
                  <c:v>61</c:v>
                </c:pt>
                <c:pt idx="9">
                  <c:v>69</c:v>
                </c:pt>
                <c:pt idx="10">
                  <c:v>67</c:v>
                </c:pt>
                <c:pt idx="1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F-844C-A204-DAD8DB8E08C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Region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2"/>
                <c:pt idx="0">
                  <c:v>28</c:v>
                </c:pt>
                <c:pt idx="1">
                  <c:v>32</c:v>
                </c:pt>
                <c:pt idx="2">
                  <c:v>41</c:v>
                </c:pt>
                <c:pt idx="3">
                  <c:v>48</c:v>
                </c:pt>
                <c:pt idx="4">
                  <c:v>54</c:v>
                </c:pt>
                <c:pt idx="5">
                  <c:v>66</c:v>
                </c:pt>
                <c:pt idx="6">
                  <c:v>78</c:v>
                </c:pt>
                <c:pt idx="7">
                  <c:v>83</c:v>
                </c:pt>
                <c:pt idx="8">
                  <c:v>93</c:v>
                </c:pt>
                <c:pt idx="9">
                  <c:v>97</c:v>
                </c:pt>
                <c:pt idx="10">
                  <c:v>97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BF-844C-A204-DAD8DB8E0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079872"/>
        <c:axId val="1506237888"/>
      </c:lineChart>
      <c:catAx>
        <c:axId val="150607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237888"/>
        <c:crosses val="autoZero"/>
        <c:auto val="1"/>
        <c:lblAlgn val="ctr"/>
        <c:lblOffset val="100"/>
        <c:noMultiLvlLbl val="0"/>
      </c:catAx>
      <c:valAx>
        <c:axId val="150623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7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7827682727714176"/>
          <c:w val="0.34168595348460562"/>
          <c:h val="4.90091140864754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4.png"/><Relationship Id="rId11" Type="http://schemas.openxmlformats.org/officeDocument/2006/relationships/chart" Target="../charts/chart8.xml"/><Relationship Id="rId5" Type="http://schemas.openxmlformats.org/officeDocument/2006/relationships/image" Target="../media/image3.png"/><Relationship Id="rId10" Type="http://schemas.openxmlformats.org/officeDocument/2006/relationships/chart" Target="../charts/chart7.xml"/><Relationship Id="rId4" Type="http://schemas.openxmlformats.org/officeDocument/2006/relationships/image" Target="../media/image2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3</xdr:row>
      <xdr:rowOff>127000</xdr:rowOff>
    </xdr:from>
    <xdr:to>
      <xdr:col>14</xdr:col>
      <xdr:colOff>177800</xdr:colOff>
      <xdr:row>26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4CE92-E1D7-ABF3-8765-B943F6CBD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736600</xdr:colOff>
      <xdr:row>28</xdr:row>
      <xdr:rowOff>25400</xdr:rowOff>
    </xdr:from>
    <xdr:to>
      <xdr:col>8</xdr:col>
      <xdr:colOff>355600</xdr:colOff>
      <xdr:row>41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C233D3-1AFD-AD85-CFDD-3CCE130CE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292100</xdr:colOff>
      <xdr:row>28</xdr:row>
      <xdr:rowOff>12700</xdr:rowOff>
    </xdr:from>
    <xdr:to>
      <xdr:col>13</xdr:col>
      <xdr:colOff>736600</xdr:colOff>
      <xdr:row>41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7001CE-CAD9-F744-AE85-A4C5E7EDD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114300</xdr:colOff>
      <xdr:row>44</xdr:row>
      <xdr:rowOff>0</xdr:rowOff>
    </xdr:from>
    <xdr:to>
      <xdr:col>10</xdr:col>
      <xdr:colOff>558800</xdr:colOff>
      <xdr:row>57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094946-16E5-EA4F-A3E0-3876DADE9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12959</xdr:colOff>
      <xdr:row>38</xdr:row>
      <xdr:rowOff>64796</xdr:rowOff>
    </xdr:from>
    <xdr:to>
      <xdr:col>16</xdr:col>
      <xdr:colOff>427653</xdr:colOff>
      <xdr:row>71</xdr:row>
      <xdr:rowOff>12959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7B64442-CCDF-37EB-655D-8D54F8476014}"/>
            </a:ext>
          </a:extLst>
        </xdr:cNvPr>
        <xdr:cNvSpPr/>
      </xdr:nvSpPr>
      <xdr:spPr>
        <a:xfrm>
          <a:off x="12959" y="7943980"/>
          <a:ext cx="13684898" cy="679061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311020</xdr:colOff>
      <xdr:row>18</xdr:row>
      <xdr:rowOff>193092</xdr:rowOff>
    </xdr:from>
    <xdr:to>
      <xdr:col>20</xdr:col>
      <xdr:colOff>762259</xdr:colOff>
      <xdr:row>35</xdr:row>
      <xdr:rowOff>193092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21A65-7D8E-7CFB-735A-53C79E182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596900</xdr:colOff>
      <xdr:row>18</xdr:row>
      <xdr:rowOff>165100</xdr:rowOff>
    </xdr:from>
    <xdr:to>
      <xdr:col>14</xdr:col>
      <xdr:colOff>323979</xdr:colOff>
      <xdr:row>35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DC0F30-CF66-0941-8345-41FB5A759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48</xdr:col>
      <xdr:colOff>660400</xdr:colOff>
      <xdr:row>175</xdr:row>
      <xdr:rowOff>12700</xdr:rowOff>
    </xdr:from>
    <xdr:to>
      <xdr:col>50</xdr:col>
      <xdr:colOff>0</xdr:colOff>
      <xdr:row>176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DFDFC1-8CBB-2D64-61EF-D278C9D16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284400" y="35572700"/>
          <a:ext cx="990600" cy="266700"/>
        </a:xfrm>
        <a:prstGeom prst="rect">
          <a:avLst/>
        </a:prstGeom>
      </xdr:spPr>
    </xdr:pic>
    <xdr:clientData/>
  </xdr:twoCellAnchor>
  <xdr:twoCellAnchor editAs="oneCell">
    <xdr:from>
      <xdr:col>42</xdr:col>
      <xdr:colOff>647700</xdr:colOff>
      <xdr:row>151</xdr:row>
      <xdr:rowOff>12700</xdr:rowOff>
    </xdr:from>
    <xdr:to>
      <xdr:col>44</xdr:col>
      <xdr:colOff>25400</xdr:colOff>
      <xdr:row>152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2D34C9-1230-8F79-5D4C-E5094E29C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18700" y="30695900"/>
          <a:ext cx="1028700" cy="254000"/>
        </a:xfrm>
        <a:prstGeom prst="rect">
          <a:avLst/>
        </a:prstGeom>
      </xdr:spPr>
    </xdr:pic>
    <xdr:clientData/>
  </xdr:twoCellAnchor>
  <xdr:twoCellAnchor editAs="oneCell">
    <xdr:from>
      <xdr:col>36</xdr:col>
      <xdr:colOff>635000</xdr:colOff>
      <xdr:row>127</xdr:row>
      <xdr:rowOff>12700</xdr:rowOff>
    </xdr:from>
    <xdr:to>
      <xdr:col>38</xdr:col>
      <xdr:colOff>127000</xdr:colOff>
      <xdr:row>128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5521E4-80FF-B754-AC65-4F4F5F796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353000" y="25819100"/>
          <a:ext cx="1143000" cy="228600"/>
        </a:xfrm>
        <a:prstGeom prst="rect">
          <a:avLst/>
        </a:prstGeom>
      </xdr:spPr>
    </xdr:pic>
    <xdr:clientData/>
  </xdr:twoCellAnchor>
  <xdr:twoCellAnchor editAs="oneCell">
    <xdr:from>
      <xdr:col>30</xdr:col>
      <xdr:colOff>622300</xdr:colOff>
      <xdr:row>103</xdr:row>
      <xdr:rowOff>12700</xdr:rowOff>
    </xdr:from>
    <xdr:to>
      <xdr:col>31</xdr:col>
      <xdr:colOff>812800</xdr:colOff>
      <xdr:row>104</xdr:row>
      <xdr:rowOff>88900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E242BA-8E0F-85DF-7C7E-78560DDDC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387300" y="20942300"/>
          <a:ext cx="1016000" cy="279400"/>
        </a:xfrm>
        <a:prstGeom prst="rect">
          <a:avLst/>
        </a:prstGeom>
      </xdr:spPr>
    </xdr:pic>
    <xdr:clientData/>
  </xdr:twoCellAnchor>
  <xdr:twoCellAnchor editAs="oneCell">
    <xdr:from>
      <xdr:col>24</xdr:col>
      <xdr:colOff>609600</xdr:colOff>
      <xdr:row>79</xdr:row>
      <xdr:rowOff>12700</xdr:rowOff>
    </xdr:from>
    <xdr:to>
      <xdr:col>25</xdr:col>
      <xdr:colOff>723900</xdr:colOff>
      <xdr:row>80</xdr:row>
      <xdr:rowOff>63500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4BA3F3-B363-054A-63D7-E66BCA3D1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421600" y="16065500"/>
          <a:ext cx="939800" cy="254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795337</xdr:colOff>
      <xdr:row>31</xdr:row>
      <xdr:rowOff>84138</xdr:rowOff>
    </xdr:from>
    <xdr:to>
      <xdr:col>14</xdr:col>
      <xdr:colOff>160337</xdr:colOff>
      <xdr:row>32</xdr:row>
      <xdr:rowOff>122238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C73DA30-FDF0-B277-0E0E-44EFEBC01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701337" y="6481763"/>
          <a:ext cx="1016000" cy="244475"/>
        </a:xfrm>
        <a:prstGeom prst="rect">
          <a:avLst/>
        </a:prstGeom>
      </xdr:spPr>
    </xdr:pic>
    <xdr:clientData/>
  </xdr:twoCellAnchor>
  <xdr:twoCellAnchor editAs="oneCell">
    <xdr:from>
      <xdr:col>12</xdr:col>
      <xdr:colOff>723900</xdr:colOff>
      <xdr:row>25</xdr:row>
      <xdr:rowOff>157162</xdr:rowOff>
    </xdr:from>
    <xdr:to>
      <xdr:col>14</xdr:col>
      <xdr:colOff>25400</xdr:colOff>
      <xdr:row>26</xdr:row>
      <xdr:rowOff>169862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3BB6504-ED94-0515-C219-374C7DDBF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629900" y="5316537"/>
          <a:ext cx="952500" cy="219075"/>
        </a:xfrm>
        <a:prstGeom prst="rect">
          <a:avLst/>
        </a:prstGeom>
      </xdr:spPr>
    </xdr:pic>
    <xdr:clientData/>
  </xdr:twoCellAnchor>
  <xdr:twoCellAnchor editAs="oneCell">
    <xdr:from>
      <xdr:col>12</xdr:col>
      <xdr:colOff>785813</xdr:colOff>
      <xdr:row>21</xdr:row>
      <xdr:rowOff>6420</xdr:rowOff>
    </xdr:from>
    <xdr:to>
      <xdr:col>14</xdr:col>
      <xdr:colOff>39309</xdr:colOff>
      <xdr:row>22</xdr:row>
      <xdr:rowOff>79375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52B38C-65EF-8E09-9088-4A43929BF5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937" r="4275"/>
        <a:stretch>
          <a:fillRect/>
        </a:stretch>
      </xdr:blipFill>
      <xdr:spPr>
        <a:xfrm>
          <a:off x="10691813" y="4340295"/>
          <a:ext cx="904496" cy="279330"/>
        </a:xfrm>
        <a:prstGeom prst="rect">
          <a:avLst/>
        </a:prstGeom>
      </xdr:spPr>
    </xdr:pic>
    <xdr:clientData/>
  </xdr:twoCellAnchor>
  <xdr:twoCellAnchor editAs="oneCell">
    <xdr:from>
      <xdr:col>12</xdr:col>
      <xdr:colOff>679450</xdr:colOff>
      <xdr:row>22</xdr:row>
      <xdr:rowOff>158750</xdr:rowOff>
    </xdr:from>
    <xdr:to>
      <xdr:col>14</xdr:col>
      <xdr:colOff>23813</xdr:colOff>
      <xdr:row>23</xdr:row>
      <xdr:rowOff>166688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39D638D-B9EB-F387-7819-3C0CB70D33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" r="3241" b="17681"/>
        <a:stretch>
          <a:fillRect/>
        </a:stretch>
      </xdr:blipFill>
      <xdr:spPr>
        <a:xfrm>
          <a:off x="10585450" y="4699000"/>
          <a:ext cx="995363" cy="214313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685801</xdr:colOff>
      <xdr:row>24</xdr:row>
      <xdr:rowOff>133350</xdr:rowOff>
    </xdr:from>
    <xdr:to>
      <xdr:col>14</xdr:col>
      <xdr:colOff>25401</xdr:colOff>
      <xdr:row>25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273365C-977E-3C6A-5416-CA70EF555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91801" y="5086350"/>
          <a:ext cx="990600" cy="273050"/>
        </a:xfrm>
        <a:prstGeom prst="rect">
          <a:avLst/>
        </a:prstGeom>
      </xdr:spPr>
    </xdr:pic>
    <xdr:clientData/>
  </xdr:twoCellAnchor>
  <xdr:twoCellAnchor editAs="oneCell">
    <xdr:from>
      <xdr:col>12</xdr:col>
      <xdr:colOff>717550</xdr:colOff>
      <xdr:row>24</xdr:row>
      <xdr:rowOff>12701</xdr:rowOff>
    </xdr:from>
    <xdr:to>
      <xdr:col>14</xdr:col>
      <xdr:colOff>209550</xdr:colOff>
      <xdr:row>24</xdr:row>
      <xdr:rowOff>166689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D255032-4A12-F7C6-60A3-66DEB1360A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33561"/>
        <a:stretch>
          <a:fillRect/>
        </a:stretch>
      </xdr:blipFill>
      <xdr:spPr>
        <a:xfrm>
          <a:off x="10623550" y="4965701"/>
          <a:ext cx="1143000" cy="153988"/>
        </a:xfrm>
        <a:prstGeom prst="rect">
          <a:avLst/>
        </a:prstGeom>
      </xdr:spPr>
    </xdr:pic>
    <xdr:clientData/>
  </xdr:twoCellAnchor>
  <xdr:twoCellAnchor>
    <xdr:from>
      <xdr:col>0</xdr:col>
      <xdr:colOff>208642</xdr:colOff>
      <xdr:row>40</xdr:row>
      <xdr:rowOff>196460</xdr:rowOff>
    </xdr:from>
    <xdr:to>
      <xdr:col>6</xdr:col>
      <xdr:colOff>764591</xdr:colOff>
      <xdr:row>65</xdr:row>
      <xdr:rowOff>12959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4BCCB7A-92D0-B456-E18A-BD65F2DCF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609083</xdr:colOff>
      <xdr:row>42</xdr:row>
      <xdr:rowOff>142552</xdr:rowOff>
    </xdr:from>
    <xdr:to>
      <xdr:col>6</xdr:col>
      <xdr:colOff>505408</xdr:colOff>
      <xdr:row>46</xdr:row>
      <xdr:rowOff>168470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25E9205-4EFD-F398-5F9E-DBA47D97CDA2}"/>
            </a:ext>
          </a:extLst>
        </xdr:cNvPr>
        <xdr:cNvSpPr txBox="1"/>
      </xdr:nvSpPr>
      <xdr:spPr>
        <a:xfrm>
          <a:off x="609083" y="8851123"/>
          <a:ext cx="4872652" cy="8553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Our sales have</a:t>
          </a:r>
          <a:r>
            <a:rPr lang="en-US" sz="1400" baseline="0"/>
            <a:t> benefited from several strong sales quarters. The largest customers are growing very dependent on our supplies scheduling. We need to grow production as a result.</a:t>
          </a:r>
          <a:endParaRPr lang="en-US" sz="1400"/>
        </a:p>
      </xdr:txBody>
    </xdr:sp>
    <xdr:clientData/>
  </xdr:twoCellAnchor>
  <xdr:twoCellAnchor>
    <xdr:from>
      <xdr:col>0</xdr:col>
      <xdr:colOff>165361</xdr:colOff>
      <xdr:row>61</xdr:row>
      <xdr:rowOff>155509</xdr:rowOff>
    </xdr:from>
    <xdr:to>
      <xdr:col>6</xdr:col>
      <xdr:colOff>505408</xdr:colOff>
      <xdr:row>63</xdr:row>
      <xdr:rowOff>61684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0FE3953-3DF8-E944-B25B-6D309CA5628B}"/>
            </a:ext>
          </a:extLst>
        </xdr:cNvPr>
        <xdr:cNvSpPr txBox="1"/>
      </xdr:nvSpPr>
      <xdr:spPr>
        <a:xfrm>
          <a:off x="165361" y="12803672"/>
          <a:ext cx="5316374" cy="3208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Source: Sales db 4/7 Export</a:t>
          </a:r>
        </a:p>
      </xdr:txBody>
    </xdr:sp>
    <xdr:clientData/>
  </xdr:twoCellAnchor>
  <xdr:twoCellAnchor>
    <xdr:from>
      <xdr:col>8</xdr:col>
      <xdr:colOff>0</xdr:colOff>
      <xdr:row>41</xdr:row>
      <xdr:rowOff>0</xdr:rowOff>
    </xdr:from>
    <xdr:to>
      <xdr:col>14</xdr:col>
      <xdr:colOff>555949</xdr:colOff>
      <xdr:row>65</xdr:row>
      <xdr:rowOff>23845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CC1D96A-D14F-C34E-9B18-AB03B2449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829387</xdr:colOff>
      <xdr:row>43</xdr:row>
      <xdr:rowOff>129591</xdr:rowOff>
    </xdr:from>
    <xdr:to>
      <xdr:col>14</xdr:col>
      <xdr:colOff>466529</xdr:colOff>
      <xdr:row>47</xdr:row>
      <xdr:rowOff>51836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39F7FAB-5C37-104D-8217-39CD1027EA06}"/>
            </a:ext>
          </a:extLst>
        </xdr:cNvPr>
        <xdr:cNvSpPr txBox="1"/>
      </xdr:nvSpPr>
      <xdr:spPr>
        <a:xfrm>
          <a:off x="6635101" y="9045509"/>
          <a:ext cx="5442857" cy="7516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/>
            <a:t>Our sales have</a:t>
          </a:r>
          <a:r>
            <a:rPr lang="en-US" sz="1400" baseline="0"/>
            <a:t> benefited from several strong sales quarters. The largest customers are growing very dependent on our supplies scheduling. We need to grow production as a result.</a:t>
          </a:r>
          <a:endParaRPr lang="en-US" sz="1400"/>
        </a:p>
      </xdr:txBody>
    </xdr:sp>
    <xdr:clientData/>
  </xdr:twoCellAnchor>
  <xdr:twoCellAnchor>
    <xdr:from>
      <xdr:col>7</xdr:col>
      <xdr:colOff>0</xdr:colOff>
      <xdr:row>80</xdr:row>
      <xdr:rowOff>25917</xdr:rowOff>
    </xdr:from>
    <xdr:to>
      <xdr:col>13</xdr:col>
      <xdr:colOff>340047</xdr:colOff>
      <xdr:row>81</xdr:row>
      <xdr:rowOff>139439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E246B13-E644-524C-B9F3-060B152291E5}"/>
            </a:ext>
          </a:extLst>
        </xdr:cNvPr>
        <xdr:cNvSpPr txBox="1"/>
      </xdr:nvSpPr>
      <xdr:spPr>
        <a:xfrm>
          <a:off x="5805714" y="16613672"/>
          <a:ext cx="5316374" cy="3208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Source: Sales db 4/7 Export</a:t>
          </a:r>
        </a:p>
      </xdr:txBody>
    </xdr:sp>
    <xdr:clientData/>
  </xdr:twoCellAnchor>
  <xdr:twoCellAnchor>
    <xdr:from>
      <xdr:col>6</xdr:col>
      <xdr:colOff>77754</xdr:colOff>
      <xdr:row>63</xdr:row>
      <xdr:rowOff>51837</xdr:rowOff>
    </xdr:from>
    <xdr:to>
      <xdr:col>12</xdr:col>
      <xdr:colOff>417802</xdr:colOff>
      <xdr:row>64</xdr:row>
      <xdr:rowOff>165359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0759D40-D96D-A840-9E71-C952D868B22D}"/>
            </a:ext>
          </a:extLst>
        </xdr:cNvPr>
        <xdr:cNvSpPr txBox="1"/>
      </xdr:nvSpPr>
      <xdr:spPr>
        <a:xfrm>
          <a:off x="5054081" y="13114694"/>
          <a:ext cx="5316374" cy="3208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Source: Sales db 4/7 Export</a:t>
          </a:r>
        </a:p>
      </xdr:txBody>
    </xdr:sp>
    <xdr:clientData/>
  </xdr:twoCellAnchor>
  <xdr:twoCellAnchor>
    <xdr:from>
      <xdr:col>1</xdr:col>
      <xdr:colOff>777551</xdr:colOff>
      <xdr:row>40</xdr:row>
      <xdr:rowOff>168468</xdr:rowOff>
    </xdr:from>
    <xdr:to>
      <xdr:col>1</xdr:col>
      <xdr:colOff>790510</xdr:colOff>
      <xdr:row>44</xdr:row>
      <xdr:rowOff>77755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9B0B8BB1-7601-4C3F-94C7-C2D16A770DD2}"/>
            </a:ext>
          </a:extLst>
        </xdr:cNvPr>
        <xdr:cNvCxnSpPr/>
      </xdr:nvCxnSpPr>
      <xdr:spPr>
        <a:xfrm flipH="1">
          <a:off x="1606939" y="8462346"/>
          <a:ext cx="12959" cy="738674"/>
        </a:xfrm>
        <a:prstGeom prst="line">
          <a:avLst/>
        </a:prstGeom>
        <a:ln w="57150"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657809</xdr:colOff>
      <xdr:row>42</xdr:row>
      <xdr:rowOff>100563</xdr:rowOff>
    </xdr:from>
    <xdr:to>
      <xdr:col>0</xdr:col>
      <xdr:colOff>670768</xdr:colOff>
      <xdr:row>46</xdr:row>
      <xdr:rowOff>9849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D5857926-A92C-2440-86CA-C5B261375712}"/>
            </a:ext>
          </a:extLst>
        </xdr:cNvPr>
        <xdr:cNvCxnSpPr/>
      </xdr:nvCxnSpPr>
      <xdr:spPr>
        <a:xfrm flipH="1">
          <a:off x="657809" y="8809134"/>
          <a:ext cx="12959" cy="738674"/>
        </a:xfrm>
        <a:prstGeom prst="line">
          <a:avLst/>
        </a:prstGeom>
        <a:ln w="57150"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343678</xdr:colOff>
      <xdr:row>58</xdr:row>
      <xdr:rowOff>58575</xdr:rowOff>
    </xdr:from>
    <xdr:to>
      <xdr:col>2</xdr:col>
      <xdr:colOff>356637</xdr:colOff>
      <xdr:row>61</xdr:row>
      <xdr:rowOff>175208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9DD1960-0EFE-5C4E-89EB-C16C4FAD0938}"/>
            </a:ext>
          </a:extLst>
        </xdr:cNvPr>
        <xdr:cNvCxnSpPr/>
      </xdr:nvCxnSpPr>
      <xdr:spPr>
        <a:xfrm flipH="1">
          <a:off x="2002454" y="12084697"/>
          <a:ext cx="12959" cy="738674"/>
        </a:xfrm>
        <a:prstGeom prst="line">
          <a:avLst/>
        </a:prstGeom>
        <a:ln w="57150"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68425</xdr:colOff>
      <xdr:row>60</xdr:row>
      <xdr:rowOff>185057</xdr:rowOff>
    </xdr:from>
    <xdr:to>
      <xdr:col>2</xdr:col>
      <xdr:colOff>81384</xdr:colOff>
      <xdr:row>64</xdr:row>
      <xdr:rowOff>94343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7D67EA1E-B7A5-D648-ACB1-6A9D8378902C}"/>
            </a:ext>
          </a:extLst>
        </xdr:cNvPr>
        <xdr:cNvCxnSpPr/>
      </xdr:nvCxnSpPr>
      <xdr:spPr>
        <a:xfrm flipH="1">
          <a:off x="1727201" y="12625873"/>
          <a:ext cx="12959" cy="738674"/>
        </a:xfrm>
        <a:prstGeom prst="line">
          <a:avLst/>
        </a:prstGeom>
        <a:ln w="57150"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285102</xdr:colOff>
      <xdr:row>47</xdr:row>
      <xdr:rowOff>156028</xdr:rowOff>
    </xdr:from>
    <xdr:to>
      <xdr:col>0</xdr:col>
      <xdr:colOff>285622</xdr:colOff>
      <xdr:row>56</xdr:row>
      <xdr:rowOff>103673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C4EAA2D-8D45-CA4A-AE47-ABDCECC1C776}"/>
            </a:ext>
          </a:extLst>
        </xdr:cNvPr>
        <xdr:cNvCxnSpPr/>
      </xdr:nvCxnSpPr>
      <xdr:spPr>
        <a:xfrm flipH="1">
          <a:off x="285102" y="9901334"/>
          <a:ext cx="520" cy="1813768"/>
        </a:xfrm>
        <a:prstGeom prst="line">
          <a:avLst/>
        </a:prstGeom>
        <a:ln w="57150"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38878</xdr:colOff>
      <xdr:row>41</xdr:row>
      <xdr:rowOff>3628</xdr:rowOff>
    </xdr:from>
    <xdr:to>
      <xdr:col>8</xdr:col>
      <xdr:colOff>42508</xdr:colOff>
      <xdr:row>65</xdr:row>
      <xdr:rowOff>90715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A655296E-9B97-1544-BA44-19F1F3D9DF47}"/>
            </a:ext>
          </a:extLst>
        </xdr:cNvPr>
        <xdr:cNvCxnSpPr/>
      </xdr:nvCxnSpPr>
      <xdr:spPr>
        <a:xfrm flipH="1">
          <a:off x="6673980" y="8504852"/>
          <a:ext cx="3630" cy="5063414"/>
        </a:xfrm>
        <a:prstGeom prst="line">
          <a:avLst/>
        </a:prstGeom>
        <a:ln w="57150"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F9B1-52CD-804E-B141-2FD425D14364}">
  <dimension ref="A3:C32"/>
  <sheetViews>
    <sheetView topLeftCell="A10" workbookViewId="0">
      <selection activeCell="D21" sqref="D21"/>
    </sheetView>
  </sheetViews>
  <sheetFormatPr baseColWidth="10" defaultRowHeight="16" x14ac:dyDescent="0.2"/>
  <sheetData>
    <row r="3" spans="1:3" x14ac:dyDescent="0.2">
      <c r="B3" t="s">
        <v>2</v>
      </c>
      <c r="C3" t="s">
        <v>3</v>
      </c>
    </row>
    <row r="4" spans="1:3" x14ac:dyDescent="0.2">
      <c r="A4" t="s">
        <v>0</v>
      </c>
      <c r="B4">
        <v>100</v>
      </c>
      <c r="C4">
        <v>5</v>
      </c>
    </row>
    <row r="5" spans="1:3" x14ac:dyDescent="0.2">
      <c r="A5" t="s">
        <v>1</v>
      </c>
      <c r="B5">
        <v>105</v>
      </c>
      <c r="C5">
        <v>10</v>
      </c>
    </row>
    <row r="17" spans="1:3" x14ac:dyDescent="0.2">
      <c r="A17">
        <v>243.38</v>
      </c>
    </row>
    <row r="18" spans="1:3" x14ac:dyDescent="0.2">
      <c r="A18">
        <v>765</v>
      </c>
    </row>
    <row r="19" spans="1:3" x14ac:dyDescent="0.2">
      <c r="A19">
        <f>A17+A18</f>
        <v>1008.38</v>
      </c>
    </row>
    <row r="20" spans="1:3" x14ac:dyDescent="0.2">
      <c r="A20">
        <f>A19/2</f>
        <v>504.19</v>
      </c>
    </row>
    <row r="29" spans="1:3" x14ac:dyDescent="0.2">
      <c r="B29" t="s">
        <v>4</v>
      </c>
      <c r="C29" t="s">
        <v>8</v>
      </c>
    </row>
    <row r="30" spans="1:3" x14ac:dyDescent="0.2">
      <c r="A30" t="s">
        <v>5</v>
      </c>
      <c r="B30">
        <v>100</v>
      </c>
      <c r="C30">
        <v>0</v>
      </c>
    </row>
    <row r="31" spans="1:3" x14ac:dyDescent="0.2">
      <c r="A31" t="s">
        <v>6</v>
      </c>
      <c r="B31">
        <v>105</v>
      </c>
      <c r="C31" s="1">
        <f>(B31-B30)/B30</f>
        <v>0.05</v>
      </c>
    </row>
    <row r="32" spans="1:3" x14ac:dyDescent="0.2">
      <c r="A32" t="s">
        <v>7</v>
      </c>
      <c r="B32">
        <v>103</v>
      </c>
      <c r="C32" s="1">
        <f>(B32-B30)/B30</f>
        <v>0.03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1A93-7848-914A-AD79-A227ECD52C5A}">
  <dimension ref="A1:G15"/>
  <sheetViews>
    <sheetView topLeftCell="A30" zoomScale="98" zoomScaleNormal="98" workbookViewId="0">
      <selection activeCell="C34" sqref="C34"/>
    </sheetView>
  </sheetViews>
  <sheetFormatPr baseColWidth="10" defaultRowHeight="16" x14ac:dyDescent="0.2"/>
  <sheetData>
    <row r="1" spans="1:7" x14ac:dyDescent="0.2">
      <c r="B1">
        <v>1</v>
      </c>
      <c r="C1">
        <v>3</v>
      </c>
      <c r="D1">
        <v>1</v>
      </c>
      <c r="E1">
        <v>-2</v>
      </c>
      <c r="F1">
        <v>0</v>
      </c>
      <c r="G1">
        <v>-5</v>
      </c>
    </row>
    <row r="3" spans="1:7" x14ac:dyDescent="0.2"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</row>
    <row r="4" spans="1:7" x14ac:dyDescent="0.2">
      <c r="A4" t="s">
        <v>9</v>
      </c>
      <c r="B4">
        <v>30</v>
      </c>
      <c r="C4">
        <v>28</v>
      </c>
      <c r="D4">
        <v>37</v>
      </c>
      <c r="E4">
        <v>36</v>
      </c>
      <c r="F4">
        <v>20</v>
      </c>
      <c r="G4">
        <v>34</v>
      </c>
    </row>
    <row r="5" spans="1:7" x14ac:dyDescent="0.2">
      <c r="A5" t="s">
        <v>10</v>
      </c>
      <c r="B5">
        <v>35</v>
      </c>
      <c r="C5">
        <v>32</v>
      </c>
      <c r="D5">
        <v>36</v>
      </c>
      <c r="E5">
        <v>42</v>
      </c>
      <c r="F5">
        <v>17</v>
      </c>
      <c r="G5">
        <v>38</v>
      </c>
    </row>
    <row r="6" spans="1:7" x14ac:dyDescent="0.2">
      <c r="A6" t="s">
        <v>11</v>
      </c>
      <c r="B6">
        <v>36</v>
      </c>
      <c r="C6">
        <v>41</v>
      </c>
      <c r="D6">
        <v>42</v>
      </c>
      <c r="E6">
        <v>44</v>
      </c>
      <c r="F6">
        <v>24</v>
      </c>
      <c r="G6">
        <v>36</v>
      </c>
    </row>
    <row r="7" spans="1:7" x14ac:dyDescent="0.2">
      <c r="A7" t="s">
        <v>12</v>
      </c>
      <c r="B7">
        <v>38</v>
      </c>
      <c r="C7">
        <v>48</v>
      </c>
      <c r="D7">
        <v>43</v>
      </c>
      <c r="E7">
        <v>51</v>
      </c>
      <c r="F7">
        <v>31</v>
      </c>
      <c r="G7">
        <v>32</v>
      </c>
    </row>
    <row r="8" spans="1:7" x14ac:dyDescent="0.2">
      <c r="A8" t="s">
        <v>13</v>
      </c>
      <c r="B8">
        <v>48</v>
      </c>
      <c r="C8">
        <v>54</v>
      </c>
      <c r="D8">
        <v>43</v>
      </c>
      <c r="E8">
        <v>54</v>
      </c>
      <c r="F8">
        <v>32</v>
      </c>
      <c r="G8">
        <v>28</v>
      </c>
    </row>
    <row r="9" spans="1:7" x14ac:dyDescent="0.2">
      <c r="A9" t="s">
        <v>14</v>
      </c>
      <c r="B9">
        <v>46</v>
      </c>
      <c r="C9">
        <v>66</v>
      </c>
      <c r="D9">
        <v>53</v>
      </c>
      <c r="E9">
        <v>56</v>
      </c>
      <c r="F9">
        <v>30</v>
      </c>
      <c r="G9">
        <v>20</v>
      </c>
    </row>
    <row r="10" spans="1:7" x14ac:dyDescent="0.2">
      <c r="A10" t="s">
        <v>15</v>
      </c>
      <c r="B10">
        <v>50</v>
      </c>
      <c r="C10">
        <v>78</v>
      </c>
      <c r="D10">
        <v>59</v>
      </c>
      <c r="E10">
        <v>62</v>
      </c>
      <c r="F10">
        <v>38</v>
      </c>
      <c r="G10">
        <v>12</v>
      </c>
    </row>
    <row r="11" spans="1:7" x14ac:dyDescent="0.2">
      <c r="A11" t="s">
        <v>16</v>
      </c>
      <c r="B11">
        <v>52</v>
      </c>
      <c r="C11">
        <v>83</v>
      </c>
      <c r="D11">
        <v>57</v>
      </c>
      <c r="E11">
        <v>64</v>
      </c>
      <c r="F11">
        <v>47</v>
      </c>
      <c r="G11">
        <v>13</v>
      </c>
    </row>
    <row r="12" spans="1:7" x14ac:dyDescent="0.2">
      <c r="A12" t="s">
        <v>17</v>
      </c>
      <c r="B12">
        <v>61</v>
      </c>
      <c r="C12">
        <v>93</v>
      </c>
      <c r="D12">
        <v>67</v>
      </c>
      <c r="E12">
        <v>70</v>
      </c>
      <c r="F12">
        <v>46</v>
      </c>
      <c r="G12">
        <v>17</v>
      </c>
    </row>
    <row r="13" spans="1:7" x14ac:dyDescent="0.2">
      <c r="A13" t="s">
        <v>18</v>
      </c>
      <c r="B13">
        <v>69</v>
      </c>
      <c r="C13">
        <v>97</v>
      </c>
      <c r="D13">
        <v>74</v>
      </c>
      <c r="E13">
        <v>74</v>
      </c>
      <c r="F13">
        <v>56</v>
      </c>
      <c r="G13">
        <v>12</v>
      </c>
    </row>
    <row r="14" spans="1:7" x14ac:dyDescent="0.2">
      <c r="A14" t="s">
        <v>19</v>
      </c>
      <c r="B14">
        <v>67</v>
      </c>
      <c r="C14">
        <v>97</v>
      </c>
      <c r="D14">
        <v>77</v>
      </c>
      <c r="E14">
        <v>81</v>
      </c>
      <c r="F14">
        <v>58</v>
      </c>
      <c r="G14">
        <v>4</v>
      </c>
    </row>
    <row r="15" spans="1:7" x14ac:dyDescent="0.2">
      <c r="A15" t="s">
        <v>20</v>
      </c>
      <c r="B15">
        <v>73</v>
      </c>
      <c r="C15">
        <v>100</v>
      </c>
      <c r="D15">
        <v>76</v>
      </c>
      <c r="E15">
        <v>82</v>
      </c>
      <c r="F15">
        <v>60</v>
      </c>
      <c r="G15">
        <v>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3FAC-5EE3-9C48-B878-ECD143CD7EFC}">
  <dimension ref="A1:E5"/>
  <sheetViews>
    <sheetView tabSelected="1" workbookViewId="0">
      <selection activeCell="D9" sqref="D9"/>
    </sheetView>
  </sheetViews>
  <sheetFormatPr baseColWidth="10" defaultRowHeight="16" x14ac:dyDescent="0.2"/>
  <cols>
    <col min="1" max="1" width="14.5" customWidth="1"/>
  </cols>
  <sheetData>
    <row r="1" spans="1:5" ht="22" x14ac:dyDescent="0.2">
      <c r="A1" s="5" t="s">
        <v>27</v>
      </c>
      <c r="B1" s="5" t="s">
        <v>4</v>
      </c>
      <c r="C1" s="5" t="s">
        <v>32</v>
      </c>
      <c r="D1" s="5" t="s">
        <v>33</v>
      </c>
      <c r="E1" s="5" t="s">
        <v>36</v>
      </c>
    </row>
    <row r="2" spans="1:5" x14ac:dyDescent="0.2">
      <c r="A2" t="s">
        <v>28</v>
      </c>
      <c r="B2" s="2">
        <v>2398</v>
      </c>
      <c r="C2" s="3">
        <f>B2*0.04</f>
        <v>95.92</v>
      </c>
      <c r="D2" t="s">
        <v>34</v>
      </c>
      <c r="E2">
        <v>2</v>
      </c>
    </row>
    <row r="3" spans="1:5" x14ac:dyDescent="0.2">
      <c r="A3" t="s">
        <v>29</v>
      </c>
      <c r="B3" s="2">
        <v>2823</v>
      </c>
      <c r="C3" s="3">
        <f t="shared" ref="C3:C5" si="0">B3*0.04</f>
        <v>112.92</v>
      </c>
      <c r="D3" t="s">
        <v>34</v>
      </c>
      <c r="E3">
        <v>3</v>
      </c>
    </row>
    <row r="4" spans="1:5" x14ac:dyDescent="0.2">
      <c r="A4" t="s">
        <v>30</v>
      </c>
      <c r="B4" s="2">
        <v>84</v>
      </c>
      <c r="C4" s="3">
        <f t="shared" si="0"/>
        <v>3.36</v>
      </c>
      <c r="D4" s="4" t="s">
        <v>35</v>
      </c>
      <c r="E4">
        <v>3</v>
      </c>
    </row>
    <row r="5" spans="1:5" x14ac:dyDescent="0.2">
      <c r="A5" t="s">
        <v>31</v>
      </c>
      <c r="B5" s="2">
        <v>837</v>
      </c>
      <c r="C5" s="3">
        <f t="shared" si="0"/>
        <v>33.480000000000004</v>
      </c>
      <c r="D5" t="s">
        <v>34</v>
      </c>
      <c r="E5">
        <v>1</v>
      </c>
    </row>
  </sheetData>
  <conditionalFormatting sqref="C2:C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{C7E9B716-B3E2-1B4E-ACDD-3B6D83BAB2B9}</x14:id>
        </ext>
      </extLst>
    </cfRule>
  </conditionalFormatting>
  <conditionalFormatting sqref="B2:B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5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E9B716-B3E2-1B4E-ACDD-3B6D83BAB2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Garrett</dc:creator>
  <cp:lastModifiedBy>Nathan Garrett</cp:lastModifiedBy>
  <dcterms:created xsi:type="dcterms:W3CDTF">2025-05-29T14:10:11Z</dcterms:created>
  <dcterms:modified xsi:type="dcterms:W3CDTF">2026-08-25T20:11:58Z</dcterms:modified>
</cp:coreProperties>
</file>