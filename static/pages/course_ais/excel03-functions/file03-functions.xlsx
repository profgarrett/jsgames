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ndg00008/Library/CloudStorage/Dropbox/wvu/Courses/ACCT 321 Fall 2026/_shared/Excel files/"/>
    </mc:Choice>
  </mc:AlternateContent>
  <xr:revisionPtr revIDLastSave="0" documentId="13_ncr:1_{D458F5C2-A0E3-D840-B6FC-C42A5F93E2FD}" xr6:coauthVersionLast="47" xr6:coauthVersionMax="47" xr10:uidLastSave="{00000000-0000-0000-0000-000000000000}"/>
  <bookViews>
    <workbookView xWindow="51920" yWindow="-7260" windowWidth="38240" windowHeight="20840" tabRatio="644" xr2:uid="{00000000-000D-0000-FFFF-FFFF00000000}"/>
  </bookViews>
  <sheets>
    <sheet name="Concept List" sheetId="5" r:id="rId1"/>
    <sheet name="String Functions" sheetId="8" r:id="rId2"/>
    <sheet name="Summary Functions" sheetId="7" r:id="rId3"/>
    <sheet name="Date Functions" sheetId="3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2" i="8" l="1"/>
  <c r="C17" i="8"/>
  <c r="B17" i="8"/>
  <c r="C33" i="3"/>
  <c r="B56" i="3"/>
  <c r="B55" i="3"/>
  <c r="B54" i="3"/>
  <c r="B53" i="3"/>
  <c r="B52" i="3"/>
  <c r="B51" i="3"/>
  <c r="B50" i="3"/>
  <c r="B49" i="3"/>
  <c r="B48" i="3"/>
  <c r="B47" i="3"/>
  <c r="B46" i="3"/>
  <c r="B45" i="3"/>
  <c r="B50" i="7"/>
  <c r="B49" i="7"/>
  <c r="B48" i="7"/>
  <c r="B47" i="7"/>
  <c r="B39" i="7"/>
  <c r="B38" i="7"/>
  <c r="B37" i="7"/>
  <c r="B36" i="7"/>
  <c r="B35" i="7"/>
  <c r="B81" i="8"/>
  <c r="B80" i="8"/>
  <c r="B79" i="8"/>
  <c r="B78" i="8"/>
  <c r="B77" i="8"/>
  <c r="B76" i="8"/>
  <c r="B75" i="8"/>
  <c r="B74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30" i="8"/>
  <c r="C9" i="3"/>
  <c r="C38" i="3"/>
  <c r="C28" i="3"/>
  <c r="C32" i="3"/>
  <c r="C31" i="3"/>
  <c r="C23" i="3"/>
  <c r="C17" i="3"/>
  <c r="C18" i="3"/>
  <c r="C19" i="3"/>
  <c r="C13" i="3"/>
  <c r="C65" i="8"/>
  <c r="C51" i="8"/>
  <c r="C18" i="8"/>
  <c r="C56" i="8"/>
  <c r="C61" i="8"/>
  <c r="C4" i="8"/>
  <c r="C23" i="8"/>
  <c r="C8" i="8"/>
  <c r="C14" i="8"/>
  <c r="B14" i="8"/>
  <c r="B61" i="8"/>
  <c r="B9" i="3"/>
  <c r="B18" i="8"/>
  <c r="B56" i="8"/>
  <c r="B51" i="8"/>
  <c r="B38" i="3"/>
  <c r="B28" i="3"/>
  <c r="B8" i="8"/>
  <c r="B32" i="3"/>
  <c r="B17" i="3"/>
  <c r="B4" i="8"/>
  <c r="B22" i="8"/>
  <c r="B33" i="3"/>
  <c r="B23" i="8"/>
  <c r="B65" i="8"/>
  <c r="C19" i="7" l="1"/>
  <c r="C21" i="7"/>
  <c r="C20" i="7"/>
  <c r="C18" i="7"/>
  <c r="C17" i="7"/>
  <c r="C11" i="7"/>
  <c r="C10" i="7"/>
  <c r="C9" i="7"/>
  <c r="C8" i="7"/>
  <c r="C8" i="3"/>
  <c r="B21" i="7"/>
  <c r="B11" i="7"/>
  <c r="B17" i="7"/>
  <c r="B20" i="7"/>
  <c r="B18" i="3"/>
  <c r="B13" i="3"/>
  <c r="B18" i="7"/>
  <c r="B8" i="3"/>
  <c r="B31" i="3"/>
  <c r="B19" i="7"/>
  <c r="B10" i="7"/>
  <c r="B9" i="7"/>
  <c r="B8" i="7"/>
  <c r="B23" i="3"/>
  <c r="B19" i="3"/>
</calcChain>
</file>

<file path=xl/sharedStrings.xml><?xml version="1.0" encoding="utf-8"?>
<sst xmlns="http://schemas.openxmlformats.org/spreadsheetml/2006/main" count="187" uniqueCount="157">
  <si>
    <t>Concept List</t>
  </si>
  <si>
    <t>Formulas can also use functions.</t>
  </si>
  <si>
    <r>
      <t xml:space="preserve">A function is a word followed by parenthesis.  One example is </t>
    </r>
    <r>
      <rPr>
        <b/>
        <sz val="12"/>
        <color theme="1"/>
        <rFont val="Calibri"/>
        <family val="2"/>
        <scheme val="minor"/>
      </rPr>
      <t>now()</t>
    </r>
  </si>
  <si>
    <t>Anything inside of the parenthesis is sent to the function.</t>
  </si>
  <si>
    <t>The result of the function is then displayed.</t>
  </si>
  <si>
    <t>Number</t>
  </si>
  <si>
    <t>Word</t>
  </si>
  <si>
    <t>Starting</t>
  </si>
  <si>
    <t>The Left() function returns part of a word.</t>
  </si>
  <si>
    <t>Number of letters</t>
  </si>
  <si>
    <t>The first argument is the word, and</t>
  </si>
  <si>
    <t>the second is how many letters to return.</t>
  </si>
  <si>
    <t>Message</t>
  </si>
  <si>
    <t>Functions</t>
  </si>
  <si>
    <t>Person's Name</t>
  </si>
  <si>
    <t>Nathan Garrett</t>
  </si>
  <si>
    <t>What is the length of the name?</t>
  </si>
  <si>
    <t>Return the name in upper case.</t>
  </si>
  <si>
    <t>Return the name in lower case.</t>
  </si>
  <si>
    <t>Return the left 4 letters.</t>
  </si>
  <si>
    <t>Return the right 7 letters</t>
  </si>
  <si>
    <t>A function is a word with parenthesis, such as Int()</t>
  </si>
  <si>
    <t>They can take zero or more arguments</t>
  </si>
  <si>
    <t>Arguments must be separated by commas</t>
  </si>
  <si>
    <t>Functions return a value</t>
  </si>
  <si>
    <t>You can use multiple functions together and return their results</t>
  </si>
  <si>
    <t>Sales</t>
  </si>
  <si>
    <t>Solve the problems below</t>
  </si>
  <si>
    <t>Formulas can use ranges as input.</t>
  </si>
  <si>
    <t>Sum adds up a range</t>
  </si>
  <si>
    <t>Sum can also use actual numbers.</t>
  </si>
  <si>
    <t>Sum can add individual references</t>
  </si>
  <si>
    <t>Sum can also do all of the above at the same time.</t>
  </si>
  <si>
    <t>a</t>
  </si>
  <si>
    <t>b</t>
  </si>
  <si>
    <t>c</t>
  </si>
  <si>
    <t>Count shows the number of numbers in the range.</t>
  </si>
  <si>
    <t>CountA shows the number of numbers and text in the range.</t>
  </si>
  <si>
    <t>Max give the smallest number</t>
  </si>
  <si>
    <t>Min gives the largest number.</t>
  </si>
  <si>
    <t>Average gives the mean.</t>
  </si>
  <si>
    <t>Q2</t>
  </si>
  <si>
    <t>Q1</t>
  </si>
  <si>
    <t>Q3</t>
  </si>
  <si>
    <t>Q4</t>
  </si>
  <si>
    <t>Items</t>
  </si>
  <si>
    <t>Tools</t>
  </si>
  <si>
    <t>Wood</t>
  </si>
  <si>
    <t>Wrenches</t>
  </si>
  <si>
    <t>Staff</t>
  </si>
  <si>
    <t>What is the worst quarter of sales?</t>
  </si>
  <si>
    <t>What is the best quarter?</t>
  </si>
  <si>
    <t>What is the average sales?</t>
  </si>
  <si>
    <t>How many items are in the list?</t>
  </si>
  <si>
    <t>Maximum Commission</t>
  </si>
  <si>
    <t>Minimum Commission</t>
  </si>
  <si>
    <t>Rate</t>
  </si>
  <si>
    <t>Calculate the commission, making sure that it's not less than the min.</t>
  </si>
  <si>
    <t>Calculate the commission, making sure that it's not more than the max</t>
  </si>
  <si>
    <t>Calculate the commission, making sure that it's not less than the min and more than the max.</t>
  </si>
  <si>
    <t>Left</t>
  </si>
  <si>
    <t>Right</t>
  </si>
  <si>
    <t>The Right() function returns part of a word.</t>
  </si>
  <si>
    <t>Cost</t>
  </si>
  <si>
    <t>Concat (&amp;)</t>
  </si>
  <si>
    <t>It costs</t>
  </si>
  <si>
    <t>You can wrap text in "quotes".  Be sure to use " and not '</t>
  </si>
  <si>
    <t>ABC</t>
  </si>
  <si>
    <t>Len tells us how long a word is.</t>
  </si>
  <si>
    <t>Len</t>
  </si>
  <si>
    <t>Substitute replaces part of a word.</t>
  </si>
  <si>
    <t>Substitute</t>
  </si>
  <si>
    <t>Replace</t>
  </si>
  <si>
    <t>Replace removes a portion from a word and puts in something else.</t>
  </si>
  <si>
    <t>Upper/Lower</t>
  </si>
  <si>
    <t>Upper and lower case change the case of a word.</t>
  </si>
  <si>
    <t>Find</t>
  </si>
  <si>
    <t>Find returns the position of the given text.</t>
  </si>
  <si>
    <t>It is case sensitive!</t>
  </si>
  <si>
    <t>Mid</t>
  </si>
  <si>
    <t>Mid returns part of a word.</t>
  </si>
  <si>
    <t>You give it the starting position, and how many letters to return.</t>
  </si>
  <si>
    <t>Find?</t>
  </si>
  <si>
    <t>Replace with</t>
  </si>
  <si>
    <t>Old text?</t>
  </si>
  <si>
    <t>New text?</t>
  </si>
  <si>
    <t>Date Functions</t>
  </si>
  <si>
    <t>First Day</t>
  </si>
  <si>
    <t>Last Day</t>
  </si>
  <si>
    <t>Networkday returns the number of working days between two dates.</t>
  </si>
  <si>
    <t>Dates can be broken into parts.</t>
  </si>
  <si>
    <t>Day</t>
  </si>
  <si>
    <t>Year</t>
  </si>
  <si>
    <t>Month</t>
  </si>
  <si>
    <t>You may want to add/remove days.</t>
  </si>
  <si>
    <t>Week Length</t>
  </si>
  <si>
    <t>Start Day</t>
  </si>
  <si>
    <t>This is a week later.</t>
  </si>
  <si>
    <t>Time is also important</t>
  </si>
  <si>
    <t>Minutes</t>
  </si>
  <si>
    <t>Hours</t>
  </si>
  <si>
    <t>Now</t>
  </si>
  <si>
    <t>Networkdays</t>
  </si>
  <si>
    <t>Day, Year, Month</t>
  </si>
  <si>
    <t>Add/Subtract</t>
  </si>
  <si>
    <t>Time</t>
  </si>
  <si>
    <t xml:space="preserve">What is today's date? </t>
  </si>
  <si>
    <t>What month will it be in a week?</t>
  </si>
  <si>
    <t>What year was it 60 days ago?</t>
  </si>
  <si>
    <t>How many work days will there be between January 1 2019 and January 30th?</t>
  </si>
  <si>
    <t>Create a date</t>
  </si>
  <si>
    <t>Create a time</t>
  </si>
  <si>
    <t>Hour</t>
  </si>
  <si>
    <t>Minute</t>
  </si>
  <si>
    <t>Seconds</t>
  </si>
  <si>
    <t>You can also create a time.</t>
  </si>
  <si>
    <t>What is the current time?</t>
  </si>
  <si>
    <t>What hour is it?</t>
  </si>
  <si>
    <t>What minute is it?</t>
  </si>
  <si>
    <t>How many minutes until lunch?</t>
  </si>
  <si>
    <t>How many minutes until tomorrow?</t>
  </si>
  <si>
    <t>How many hours are between 8am and 3pm?</t>
  </si>
  <si>
    <t>How many minutes are between 9am and 11:30am?</t>
  </si>
  <si>
    <t>Now() returns the current date and time</t>
  </si>
  <si>
    <t>TODAY() returns the current date.</t>
  </si>
  <si>
    <t>Summary Functions</t>
  </si>
  <si>
    <t>Simple Text Functions</t>
  </si>
  <si>
    <t>Complex Text Functions</t>
  </si>
  <si>
    <t>Show the person's last name and first initial.</t>
  </si>
  <si>
    <t>Say "Hello Bob", where "Bob" is their first name.</t>
  </si>
  <si>
    <t>Give their last name (be sure to avoid including the space)</t>
  </si>
  <si>
    <t>Give their first name (do not include the space)</t>
  </si>
  <si>
    <t>Give "Garrett, N.", where "N" is the first initial and "Garrett" is the last name.</t>
  </si>
  <si>
    <t>Product Code</t>
  </si>
  <si>
    <t>What position is the _ in?</t>
  </si>
  <si>
    <t>Use the position of the _ to just return the state code.</t>
  </si>
  <si>
    <t>Replace CALI with CA</t>
  </si>
  <si>
    <t>What position is the 12 in?</t>
  </si>
  <si>
    <t>Return the code without the 12 in it.</t>
  </si>
  <si>
    <t>Replace the 12 code with 13</t>
  </si>
  <si>
    <t>Reformat the code so that it gives you "West, Cali"</t>
  </si>
  <si>
    <t>Replace any instances of "West" with "W", and "South" with "S"</t>
  </si>
  <si>
    <t>Make a formula that outputs ABC</t>
  </si>
  <si>
    <t>Make a formula that outputs GarrettABC</t>
  </si>
  <si>
    <t>Squirrels</t>
  </si>
  <si>
    <t>How many types of items are in the list?</t>
  </si>
  <si>
    <t>Calculate the commission</t>
  </si>
  <si>
    <t>Updated Aug 25, 2026</t>
  </si>
  <si>
    <t>Time Component</t>
  </si>
  <si>
    <t>You can create a date using DATE(2026,12,30)</t>
  </si>
  <si>
    <t>What day will it be in a week?</t>
  </si>
  <si>
    <t>Green</t>
  </si>
  <si>
    <t>Concat joins together multiple items.</t>
  </si>
  <si>
    <t>Concatenate is the older version of the function</t>
  </si>
  <si>
    <t>Show the person's last name and first initial, with the last name in lowercase and the initial in uppercase</t>
  </si>
  <si>
    <t>Create the person's initials.</t>
  </si>
  <si>
    <t>Cali_12-WestSouth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</si>
</sst>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[$-F400]h:mm:ss\ AM/PM"/>
    <numFmt numFmtId="167" formatCode="[$-409]m/d/yy\ h:mm\ AM/PM;@"/>
    <numFmt numFmtId="168" formatCode="_(* #,##0.0000000000_);_(* \(#,##0.0000000000\);_(* &quot;-&quot;??_);_(@_)"/>
    <numFmt numFmtId="170" formatCode="_(* #,##0.0_);_(* \(#,##0.0\);_(* &quot;-&quot;??_);_(@_)"/>
  </numFmts>
  <fonts count="1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20"/>
      <color indexed="8"/>
      <name val="Arial Hebrew"/>
      <charset val="177"/>
    </font>
    <font>
      <b/>
      <sz val="18"/>
      <color theme="1"/>
      <name val="Calibri"/>
      <family val="2"/>
      <scheme val="minor"/>
    </font>
    <font>
      <sz val="18"/>
      <color theme="1"/>
      <name val="Adobe Arabic Regular"/>
    </font>
    <font>
      <sz val="18"/>
      <color theme="5" tint="-0.249977111117893"/>
      <name val="Adobe Arabic Regular"/>
    </font>
    <font>
      <sz val="12"/>
      <color theme="7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9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6" fillId="0" borderId="0" xfId="0" applyFont="1"/>
    <xf numFmtId="0" fontId="5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left" indent="1"/>
    </xf>
    <xf numFmtId="0" fontId="12" fillId="0" borderId="0" xfId="0" applyFont="1"/>
    <xf numFmtId="2" fontId="4" fillId="3" borderId="0" xfId="0" applyNumberFormat="1" applyFont="1" applyFill="1"/>
    <xf numFmtId="1" fontId="13" fillId="4" borderId="1" xfId="0" applyNumberFormat="1" applyFont="1" applyFill="1" applyBorder="1"/>
    <xf numFmtId="0" fontId="13" fillId="0" borderId="0" xfId="0" applyFont="1"/>
    <xf numFmtId="14" fontId="13" fillId="4" borderId="1" xfId="0" applyNumberFormat="1" applyFont="1" applyFill="1" applyBorder="1"/>
    <xf numFmtId="14" fontId="13" fillId="0" borderId="0" xfId="0" applyNumberFormat="1" applyFont="1"/>
    <xf numFmtId="0" fontId="13" fillId="4" borderId="1" xfId="0" applyFont="1" applyFill="1" applyBorder="1"/>
    <xf numFmtId="44" fontId="0" fillId="0" borderId="0" xfId="2" applyFont="1"/>
    <xf numFmtId="14" fontId="0" fillId="0" borderId="0" xfId="0" applyNumberFormat="1"/>
    <xf numFmtId="16" fontId="0" fillId="0" borderId="0" xfId="0" applyNumberFormat="1"/>
    <xf numFmtId="20" fontId="0" fillId="0" borderId="0" xfId="0" applyNumberFormat="1"/>
    <xf numFmtId="6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13" fillId="4" borderId="1" xfId="1" applyNumberFormat="1" applyFont="1" applyFill="1" applyBorder="1"/>
    <xf numFmtId="0" fontId="0" fillId="0" borderId="2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0" fillId="0" borderId="8" xfId="0" applyBorder="1" applyAlignment="1">
      <alignment horizontal="left" indent="1"/>
    </xf>
    <xf numFmtId="0" fontId="0" fillId="0" borderId="0" xfId="0" applyAlignment="1">
      <alignment horizontal="left" indent="1"/>
    </xf>
    <xf numFmtId="0" fontId="0" fillId="0" borderId="9" xfId="0" applyBorder="1" applyAlignment="1">
      <alignment horizontal="left" indent="1"/>
    </xf>
    <xf numFmtId="0" fontId="0" fillId="0" borderId="5" xfId="0" applyBorder="1" applyAlignment="1">
      <alignment horizontal="left" indent="1"/>
    </xf>
    <xf numFmtId="0" fontId="0" fillId="0" borderId="6" xfId="0" applyBorder="1" applyAlignment="1">
      <alignment horizontal="left" indent="1"/>
    </xf>
    <xf numFmtId="0" fontId="0" fillId="0" borderId="7" xfId="0" applyBorder="1" applyAlignment="1">
      <alignment horizontal="left" indent="1"/>
    </xf>
    <xf numFmtId="9" fontId="0" fillId="0" borderId="0" xfId="0" applyNumberFormat="1"/>
    <xf numFmtId="44" fontId="0" fillId="0" borderId="10" xfId="2" applyFont="1" applyBorder="1"/>
    <xf numFmtId="6" fontId="13" fillId="0" borderId="0" xfId="0" applyNumberFormat="1" applyFont="1"/>
    <xf numFmtId="16" fontId="13" fillId="0" borderId="0" xfId="0" applyNumberFormat="1" applyFont="1"/>
    <xf numFmtId="165" fontId="13" fillId="4" borderId="1" xfId="0" applyNumberFormat="1" applyFont="1" applyFill="1" applyBorder="1"/>
    <xf numFmtId="166" fontId="13" fillId="0" borderId="0" xfId="0" applyNumberFormat="1" applyFont="1"/>
    <xf numFmtId="1" fontId="13" fillId="4" borderId="0" xfId="0" applyNumberFormat="1" applyFont="1" applyFill="1"/>
    <xf numFmtId="43" fontId="13" fillId="0" borderId="0" xfId="1" applyFont="1"/>
    <xf numFmtId="18" fontId="13" fillId="4" borderId="1" xfId="0" applyNumberFormat="1" applyFont="1" applyFill="1" applyBorder="1"/>
    <xf numFmtId="167" fontId="13" fillId="4" borderId="1" xfId="0" applyNumberFormat="1" applyFont="1" applyFill="1" applyBorder="1"/>
    <xf numFmtId="167" fontId="13" fillId="4" borderId="0" xfId="0" applyNumberFormat="1" applyFont="1" applyFill="1"/>
    <xf numFmtId="9" fontId="0" fillId="0" borderId="0" xfId="3" applyFont="1"/>
    <xf numFmtId="164" fontId="0" fillId="0" borderId="0" xfId="1" applyNumberFormat="1" applyFont="1"/>
    <xf numFmtId="2" fontId="0" fillId="0" borderId="0" xfId="0" applyNumberFormat="1"/>
    <xf numFmtId="14" fontId="13" fillId="0" borderId="0" xfId="1" applyNumberFormat="1" applyFont="1"/>
    <xf numFmtId="43" fontId="0" fillId="0" borderId="0" xfId="1" applyFont="1" applyBorder="1"/>
    <xf numFmtId="166" fontId="13" fillId="4" borderId="1" xfId="0" applyNumberFormat="1" applyFont="1" applyFill="1" applyBorder="1"/>
    <xf numFmtId="168" fontId="13" fillId="4" borderId="1" xfId="1" applyNumberFormat="1" applyFont="1" applyFill="1" applyBorder="1"/>
    <xf numFmtId="0" fontId="0" fillId="2" borderId="0" xfId="0" applyFill="1" applyAlignment="1">
      <alignment horizontal="center"/>
    </xf>
    <xf numFmtId="170" fontId="13" fillId="4" borderId="1" xfId="1" applyNumberFormat="1" applyFont="1" applyFill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2" sqref="A2"/>
    </sheetView>
  </sheetViews>
  <sheetFormatPr baseColWidth="10" defaultColWidth="11" defaultRowHeight="16"/>
  <cols>
    <col min="2" max="2" width="7" bestFit="1" customWidth="1"/>
    <col min="3" max="5" width="12" customWidth="1"/>
    <col min="6" max="6" width="12.33203125" customWidth="1"/>
    <col min="7" max="7" width="12" customWidth="1"/>
    <col min="9" max="9" width="10.83203125" style="1"/>
  </cols>
  <sheetData>
    <row r="1" spans="1:9" ht="28">
      <c r="A1" s="4" t="s">
        <v>13</v>
      </c>
      <c r="I1"/>
    </row>
    <row r="2" spans="1:9">
      <c r="A2" s="10" t="s">
        <v>147</v>
      </c>
      <c r="B2" s="3"/>
      <c r="I2"/>
    </row>
    <row r="3" spans="1:9">
      <c r="A3" s="3"/>
    </row>
    <row r="4" spans="1:9" ht="24">
      <c r="A4" s="5" t="s">
        <v>0</v>
      </c>
    </row>
    <row r="6" spans="1:9">
      <c r="A6" s="3" t="s">
        <v>13</v>
      </c>
    </row>
    <row r="7" spans="1:9">
      <c r="B7" t="s">
        <v>21</v>
      </c>
    </row>
    <row r="8" spans="1:9">
      <c r="B8" t="s">
        <v>22</v>
      </c>
    </row>
    <row r="9" spans="1:9">
      <c r="B9" t="s">
        <v>23</v>
      </c>
    </row>
    <row r="10" spans="1:9">
      <c r="B10" t="s">
        <v>24</v>
      </c>
    </row>
    <row r="11" spans="1:9">
      <c r="B1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B5E2-0CB3-124E-823E-336F4ED39AE8}">
  <sheetPr>
    <tabColor theme="9"/>
  </sheetPr>
  <dimension ref="A1:N152"/>
  <sheetViews>
    <sheetView workbookViewId="0"/>
  </sheetViews>
  <sheetFormatPr baseColWidth="10" defaultColWidth="11" defaultRowHeight="16"/>
  <cols>
    <col min="1" max="1" width="20.1640625" customWidth="1"/>
    <col min="2" max="2" width="30.83203125" customWidth="1"/>
    <col min="3" max="3" width="14.83203125" customWidth="1"/>
    <col min="4" max="4" width="13.5" customWidth="1"/>
    <col min="5" max="5" width="16.33203125" customWidth="1"/>
    <col min="10" max="10" width="13.1640625" customWidth="1"/>
    <col min="14" max="14" width="12.83203125" bestFit="1" customWidth="1"/>
  </cols>
  <sheetData>
    <row r="1" spans="1:5" s="6" customFormat="1" ht="24">
      <c r="A1" s="2" t="s">
        <v>126</v>
      </c>
      <c r="D1" s="7"/>
    </row>
    <row r="2" spans="1:5" ht="24">
      <c r="A2" s="2"/>
      <c r="B2" s="2"/>
      <c r="D2" s="1"/>
    </row>
    <row r="3" spans="1:5" ht="17" thickBot="1">
      <c r="A3" t="s">
        <v>69</v>
      </c>
      <c r="B3" s="13" t="s">
        <v>6</v>
      </c>
      <c r="C3" s="13" t="s">
        <v>67</v>
      </c>
      <c r="D3" s="9" t="s">
        <v>68</v>
      </c>
      <c r="E3" s="8"/>
    </row>
    <row r="4" spans="1:5" ht="17" thickBot="1">
      <c r="B4" s="11" t="str">
        <f ca="1">_xlfn.FORMULATEXT(C4)</f>
        <v>=LEN(C3)</v>
      </c>
      <c r="C4" s="12">
        <f>LEN(C3)</f>
        <v>3</v>
      </c>
      <c r="D4" s="9"/>
      <c r="E4" s="8"/>
    </row>
    <row r="5" spans="1:5">
      <c r="D5" s="9"/>
      <c r="E5" s="8"/>
    </row>
    <row r="6" spans="1:5">
      <c r="A6" t="s">
        <v>61</v>
      </c>
      <c r="B6" s="13" t="s">
        <v>6</v>
      </c>
      <c r="C6" s="13" t="s">
        <v>7</v>
      </c>
      <c r="D6" s="9" t="s">
        <v>62</v>
      </c>
      <c r="E6" s="8"/>
    </row>
    <row r="7" spans="1:5" ht="17" thickBot="1">
      <c r="B7" s="13" t="s">
        <v>9</v>
      </c>
      <c r="C7" s="13">
        <v>4</v>
      </c>
      <c r="D7" s="9" t="s">
        <v>10</v>
      </c>
      <c r="E7" s="8"/>
    </row>
    <row r="8" spans="1:5" ht="17" thickBot="1">
      <c r="B8" s="11" t="str">
        <f ca="1">_xlfn.FORMULATEXT(C8)</f>
        <v>=RIGHT(C6,C7)</v>
      </c>
      <c r="C8" s="12" t="str">
        <f>RIGHT(C6,C7)</f>
        <v>ting</v>
      </c>
      <c r="D8" s="9" t="s">
        <v>11</v>
      </c>
      <c r="E8" s="8"/>
    </row>
    <row r="9" spans="1:5">
      <c r="D9" s="9"/>
      <c r="E9" s="8"/>
    </row>
    <row r="10" spans="1:5">
      <c r="D10" s="9"/>
      <c r="E10" s="8"/>
    </row>
    <row r="11" spans="1:5">
      <c r="D11" s="9"/>
      <c r="E11" s="8"/>
    </row>
    <row r="12" spans="1:5">
      <c r="A12" t="s">
        <v>60</v>
      </c>
      <c r="B12" s="13" t="s">
        <v>6</v>
      </c>
      <c r="C12" s="13" t="s">
        <v>7</v>
      </c>
      <c r="D12" s="9" t="s">
        <v>8</v>
      </c>
      <c r="E12" s="8"/>
    </row>
    <row r="13" spans="1:5" ht="17" thickBot="1">
      <c r="B13" s="13" t="s">
        <v>9</v>
      </c>
      <c r="C13" s="13">
        <v>4</v>
      </c>
      <c r="D13" s="9" t="s">
        <v>10</v>
      </c>
      <c r="E13" s="8"/>
    </row>
    <row r="14" spans="1:5" ht="17" thickBot="1">
      <c r="B14" s="11" t="str">
        <f ca="1">_xlfn.FORMULATEXT(C14)</f>
        <v>=LEFT(C12,C13)</v>
      </c>
      <c r="C14" s="12" t="str">
        <f>LEFT(C12,C13)</f>
        <v>Star</v>
      </c>
      <c r="D14" s="9" t="s">
        <v>11</v>
      </c>
      <c r="E14" s="8"/>
    </row>
    <row r="15" spans="1:5">
      <c r="D15" s="9"/>
      <c r="E15" s="8"/>
    </row>
    <row r="16" spans="1:5" ht="17" thickBot="1">
      <c r="A16" t="s">
        <v>74</v>
      </c>
      <c r="B16" s="13" t="s">
        <v>6</v>
      </c>
      <c r="C16" s="13" t="s">
        <v>151</v>
      </c>
      <c r="D16" s="9" t="s">
        <v>75</v>
      </c>
    </row>
    <row r="17" spans="1:6" ht="17" thickBot="1">
      <c r="B17" s="11" t="str">
        <f ca="1">_xlfn.FORMULATEXT(C17)</f>
        <v>=UPPER(C16)</v>
      </c>
      <c r="C17" s="12" t="str">
        <f>UPPER(C16)</f>
        <v>GREEN</v>
      </c>
      <c r="D17" s="9"/>
    </row>
    <row r="18" spans="1:6" ht="17" thickBot="1">
      <c r="B18" s="11" t="str">
        <f ca="1">_xlfn.FORMULATEXT(C18)</f>
        <v>=LOWER(C16)</v>
      </c>
      <c r="C18" s="12" t="str">
        <f>LOWER(C16)</f>
        <v>green</v>
      </c>
      <c r="D18" s="9"/>
    </row>
    <row r="19" spans="1:6" ht="24">
      <c r="A19" s="2"/>
      <c r="B19" s="2"/>
      <c r="D19" s="1"/>
    </row>
    <row r="20" spans="1:6">
      <c r="A20" t="s">
        <v>64</v>
      </c>
      <c r="B20" s="13" t="s">
        <v>63</v>
      </c>
      <c r="C20" s="40">
        <v>4</v>
      </c>
      <c r="D20" s="9" t="s">
        <v>152</v>
      </c>
      <c r="E20" s="8"/>
    </row>
    <row r="21" spans="1:6" ht="17" thickBot="1">
      <c r="B21" s="13" t="s">
        <v>12</v>
      </c>
      <c r="C21" s="13" t="s">
        <v>65</v>
      </c>
      <c r="D21" s="9" t="s">
        <v>153</v>
      </c>
      <c r="E21" s="8"/>
    </row>
    <row r="22" spans="1:6" ht="17" thickBot="1">
      <c r="B22" s="11" t="str">
        <f ca="1">_xlfn.FORMULATEXT(C22)</f>
        <v>=CONCAT(C21,C20)</v>
      </c>
      <c r="C22" s="12" t="str">
        <f>_xlfn.CONCAT(C21,C20)</f>
        <v>It costs4</v>
      </c>
      <c r="E22" s="8"/>
    </row>
    <row r="23" spans="1:6" ht="17" thickBot="1">
      <c r="B23" s="11" t="str">
        <f ca="1">_xlfn.FORMULATEXT(C23)</f>
        <v>=C21 &amp; " you " &amp; C20</v>
      </c>
      <c r="C23" s="12" t="str">
        <f>C21 &amp; " you " &amp; C20</f>
        <v>It costs you 4</v>
      </c>
      <c r="E23" s="8"/>
    </row>
    <row r="24" spans="1:6">
      <c r="D24" s="9" t="s">
        <v>66</v>
      </c>
      <c r="E24" s="8"/>
    </row>
    <row r="25" spans="1:6">
      <c r="A25" t="s">
        <v>27</v>
      </c>
    </row>
    <row r="26" spans="1:6">
      <c r="A26" s="56" t="s">
        <v>13</v>
      </c>
      <c r="B26" s="56"/>
      <c r="C26" s="56"/>
      <c r="D26" s="56"/>
      <c r="E26" s="56"/>
      <c r="F26" s="56"/>
    </row>
    <row r="27" spans="1:6">
      <c r="D27" s="9"/>
    </row>
    <row r="28" spans="1:6">
      <c r="D28" s="9"/>
    </row>
    <row r="29" spans="1:6" ht="17" thickBot="1">
      <c r="B29" s="13" t="s">
        <v>14</v>
      </c>
      <c r="C29" s="13" t="s">
        <v>15</v>
      </c>
      <c r="D29" s="9"/>
      <c r="E29" s="10"/>
      <c r="F29" s="10"/>
    </row>
    <row r="30" spans="1:6" ht="17" thickBot="1">
      <c r="B30" s="11" t="str">
        <f ca="1">IFERROR(_xlfn.FORMULATEXT(C30),"")</f>
        <v/>
      </c>
      <c r="C30" s="12"/>
      <c r="D30" s="9" t="s">
        <v>16</v>
      </c>
    </row>
    <row r="31" spans="1:6" ht="17" thickBot="1">
      <c r="B31" s="11" t="str">
        <f t="shared" ref="B31:B43" ca="1" si="0">IFERROR(_xlfn.FORMULATEXT(C31),"")</f>
        <v/>
      </c>
      <c r="C31" s="12"/>
      <c r="D31" s="9" t="s">
        <v>17</v>
      </c>
    </row>
    <row r="32" spans="1:6" ht="17" thickBot="1">
      <c r="B32" s="11" t="str">
        <f t="shared" ca="1" si="0"/>
        <v/>
      </c>
      <c r="C32" s="12"/>
      <c r="D32" s="9" t="s">
        <v>18</v>
      </c>
    </row>
    <row r="33" spans="1:5" ht="17" thickBot="1">
      <c r="B33" s="11" t="str">
        <f t="shared" ca="1" si="0"/>
        <v/>
      </c>
      <c r="C33" s="12"/>
      <c r="D33" s="9" t="s">
        <v>19</v>
      </c>
    </row>
    <row r="34" spans="1:5" ht="17" thickBot="1">
      <c r="B34" s="11" t="str">
        <f t="shared" ca="1" si="0"/>
        <v/>
      </c>
      <c r="C34" s="12"/>
      <c r="D34" s="9" t="s">
        <v>20</v>
      </c>
    </row>
    <row r="35" spans="1:5" ht="17" thickBot="1">
      <c r="B35" s="11" t="str">
        <f t="shared" ca="1" si="0"/>
        <v/>
      </c>
      <c r="C35" s="12"/>
      <c r="D35" s="9" t="s">
        <v>131</v>
      </c>
    </row>
    <row r="36" spans="1:5" ht="17" thickBot="1">
      <c r="B36" s="11" t="str">
        <f t="shared" ca="1" si="0"/>
        <v/>
      </c>
      <c r="C36" s="12"/>
      <c r="D36" s="9" t="s">
        <v>130</v>
      </c>
    </row>
    <row r="37" spans="1:5" ht="17" thickBot="1">
      <c r="B37" s="11" t="str">
        <f t="shared" ca="1" si="0"/>
        <v/>
      </c>
      <c r="C37" s="12"/>
      <c r="D37" s="9" t="s">
        <v>155</v>
      </c>
      <c r="E37" s="8"/>
    </row>
    <row r="38" spans="1:5" ht="17" thickBot="1">
      <c r="B38" s="11" t="str">
        <f t="shared" ca="1" si="0"/>
        <v/>
      </c>
      <c r="C38" s="12"/>
      <c r="D38" s="9" t="s">
        <v>142</v>
      </c>
      <c r="E38" s="8"/>
    </row>
    <row r="39" spans="1:5" ht="17" thickBot="1">
      <c r="B39" s="11" t="str">
        <f t="shared" ca="1" si="0"/>
        <v/>
      </c>
      <c r="C39" s="12"/>
      <c r="D39" s="9" t="s">
        <v>143</v>
      </c>
      <c r="E39" s="8"/>
    </row>
    <row r="40" spans="1:5" ht="17" thickBot="1">
      <c r="B40" s="11" t="str">
        <f t="shared" ca="1" si="0"/>
        <v/>
      </c>
      <c r="C40" s="12"/>
      <c r="D40" s="9" t="s">
        <v>129</v>
      </c>
      <c r="E40" s="8"/>
    </row>
    <row r="41" spans="1:5" ht="17" thickBot="1">
      <c r="B41" s="11" t="str">
        <f t="shared" ca="1" si="0"/>
        <v/>
      </c>
      <c r="C41" s="12"/>
      <c r="D41" s="9" t="s">
        <v>128</v>
      </c>
      <c r="E41" s="8"/>
    </row>
    <row r="42" spans="1:5" ht="17" thickBot="1">
      <c r="B42" s="11" t="str">
        <f t="shared" ca="1" si="0"/>
        <v/>
      </c>
      <c r="C42" s="12"/>
      <c r="D42" s="9" t="s">
        <v>154</v>
      </c>
      <c r="E42" s="8"/>
    </row>
    <row r="43" spans="1:5" ht="17" thickBot="1">
      <c r="B43" s="11" t="str">
        <f t="shared" ca="1" si="0"/>
        <v/>
      </c>
      <c r="C43" s="12"/>
      <c r="D43" s="9" t="s">
        <v>132</v>
      </c>
      <c r="E43" s="8"/>
    </row>
    <row r="44" spans="1:5">
      <c r="D44" s="9"/>
      <c r="E44" s="8"/>
    </row>
    <row r="45" spans="1:5">
      <c r="D45" s="9"/>
      <c r="E45" s="8"/>
    </row>
    <row r="46" spans="1:5">
      <c r="E46" s="8"/>
    </row>
    <row r="47" spans="1:5" ht="24">
      <c r="A47" s="2" t="s">
        <v>127</v>
      </c>
      <c r="E47" s="8"/>
    </row>
    <row r="48" spans="1:5">
      <c r="E48" s="8"/>
    </row>
    <row r="49" spans="1:5">
      <c r="A49" t="s">
        <v>76</v>
      </c>
      <c r="B49" s="13" t="s">
        <v>6</v>
      </c>
      <c r="C49" s="13" t="s">
        <v>67</v>
      </c>
      <c r="D49" s="9" t="s">
        <v>77</v>
      </c>
    </row>
    <row r="50" spans="1:5" ht="17" thickBot="1">
      <c r="B50" s="13" t="s">
        <v>82</v>
      </c>
      <c r="C50" s="13"/>
      <c r="D50" s="9"/>
    </row>
    <row r="51" spans="1:5" ht="17" thickBot="1">
      <c r="B51" s="11" t="str">
        <f ca="1">_xlfn.FORMULATEXT(C51)</f>
        <v>=FIND("B", C49)</v>
      </c>
      <c r="C51" s="12">
        <f>FIND("B", C49)</f>
        <v>2</v>
      </c>
      <c r="D51" s="9" t="s">
        <v>78</v>
      </c>
    </row>
    <row r="53" spans="1:5">
      <c r="A53" t="s">
        <v>72</v>
      </c>
      <c r="B53" s="13" t="s">
        <v>6</v>
      </c>
      <c r="C53" s="13" t="s">
        <v>67</v>
      </c>
      <c r="D53" s="9" t="s">
        <v>73</v>
      </c>
    </row>
    <row r="54" spans="1:5">
      <c r="B54" s="13" t="s">
        <v>76</v>
      </c>
      <c r="C54" s="13"/>
      <c r="D54" s="9"/>
    </row>
    <row r="55" spans="1:5" ht="17" thickBot="1">
      <c r="B55" s="13" t="s">
        <v>83</v>
      </c>
      <c r="C55" s="13"/>
      <c r="D55" s="9"/>
    </row>
    <row r="56" spans="1:5" ht="17" thickBot="1">
      <c r="B56" s="11" t="str">
        <f ca="1">_xlfn.FORMULATEXT(C56)</f>
        <v>=REPLACE(C53,2,1, "-")</v>
      </c>
      <c r="C56" s="12" t="str">
        <f>REPLACE(C53,2,1, "-")</f>
        <v>A-C</v>
      </c>
      <c r="D56" s="9"/>
    </row>
    <row r="57" spans="1:5" ht="24">
      <c r="A57" s="2"/>
      <c r="B57" s="2"/>
      <c r="D57" s="1"/>
    </row>
    <row r="58" spans="1:5">
      <c r="A58" t="s">
        <v>71</v>
      </c>
      <c r="B58" s="13" t="s">
        <v>6</v>
      </c>
      <c r="C58" s="13" t="s">
        <v>67</v>
      </c>
      <c r="D58" s="9" t="s">
        <v>70</v>
      </c>
      <c r="E58" s="8"/>
    </row>
    <row r="59" spans="1:5">
      <c r="B59" s="13" t="s">
        <v>84</v>
      </c>
      <c r="C59" s="13"/>
      <c r="D59" s="9"/>
      <c r="E59" s="8"/>
    </row>
    <row r="60" spans="1:5" ht="17" thickBot="1">
      <c r="B60" s="13" t="s">
        <v>85</v>
      </c>
      <c r="C60" s="13"/>
      <c r="D60" s="9"/>
      <c r="E60" s="8"/>
    </row>
    <row r="61" spans="1:5" ht="17" thickBot="1">
      <c r="B61" s="11" t="str">
        <f ca="1">_xlfn.FORMULATEXT(C61)</f>
        <v>=SUBSTITUTE(C58, "B", "-")</v>
      </c>
      <c r="C61" s="12" t="str">
        <f>SUBSTITUTE(C58, "B", "-")</f>
        <v>A-C</v>
      </c>
      <c r="D61" s="9"/>
      <c r="E61" s="8"/>
    </row>
    <row r="62" spans="1:5">
      <c r="D62" s="9"/>
      <c r="E62" s="8"/>
    </row>
    <row r="63" spans="1:5">
      <c r="A63" t="s">
        <v>79</v>
      </c>
      <c r="B63" s="13" t="s">
        <v>6</v>
      </c>
      <c r="C63" s="13" t="s">
        <v>7</v>
      </c>
      <c r="D63" s="9" t="s">
        <v>80</v>
      </c>
      <c r="E63" s="8"/>
    </row>
    <row r="64" spans="1:5" ht="17" thickBot="1">
      <c r="B64" s="13" t="s">
        <v>9</v>
      </c>
      <c r="C64" s="13">
        <v>3</v>
      </c>
      <c r="D64" s="9" t="s">
        <v>81</v>
      </c>
      <c r="E64" s="8"/>
    </row>
    <row r="65" spans="1:6" ht="17" thickBot="1">
      <c r="B65" s="11" t="str">
        <f ca="1">_xlfn.FORMULATEXT(C65)</f>
        <v>=MID(C63,C64,2)</v>
      </c>
      <c r="C65" s="12" t="str">
        <f>MID(C63,C64,2)</f>
        <v>ar</v>
      </c>
      <c r="D65" s="9"/>
      <c r="E65" s="8"/>
    </row>
    <row r="66" spans="1:6">
      <c r="D66" s="9"/>
      <c r="E66" s="8"/>
    </row>
    <row r="67" spans="1:6">
      <c r="D67" s="9"/>
      <c r="E67" s="8"/>
    </row>
    <row r="69" spans="1:6">
      <c r="A69" t="s">
        <v>27</v>
      </c>
    </row>
    <row r="70" spans="1:6">
      <c r="A70" s="56" t="s">
        <v>13</v>
      </c>
      <c r="B70" s="56"/>
      <c r="C70" s="56"/>
      <c r="D70" s="56"/>
      <c r="E70" s="56"/>
      <c r="F70" s="56"/>
    </row>
    <row r="71" spans="1:6">
      <c r="D71" s="9"/>
    </row>
    <row r="72" spans="1:6">
      <c r="D72" s="9"/>
    </row>
    <row r="73" spans="1:6" ht="17" thickBot="1">
      <c r="B73" s="13" t="s">
        <v>133</v>
      </c>
      <c r="C73" s="13" t="s">
        <v>156</v>
      </c>
      <c r="D73" s="9"/>
      <c r="E73" s="10"/>
      <c r="F73" s="10"/>
    </row>
    <row r="74" spans="1:6" ht="17" thickBot="1">
      <c r="B74" s="11" t="str">
        <f t="shared" ref="B74:B81" ca="1" si="1">IFERROR(_xlfn.FORMULATEXT(C74),"")</f>
        <v/>
      </c>
      <c r="C74" s="12"/>
      <c r="D74" s="9" t="s">
        <v>134</v>
      </c>
    </row>
    <row r="75" spans="1:6" ht="17" thickBot="1">
      <c r="B75" s="11" t="str">
        <f t="shared" ca="1" si="1"/>
        <v/>
      </c>
      <c r="C75" s="12"/>
      <c r="D75" s="9" t="s">
        <v>135</v>
      </c>
    </row>
    <row r="76" spans="1:6" ht="17" thickBot="1">
      <c r="B76" s="11" t="str">
        <f t="shared" ca="1" si="1"/>
        <v/>
      </c>
      <c r="C76" s="12"/>
      <c r="D76" s="9" t="s">
        <v>136</v>
      </c>
    </row>
    <row r="77" spans="1:6" ht="17" thickBot="1">
      <c r="B77" s="11" t="str">
        <f t="shared" ca="1" si="1"/>
        <v/>
      </c>
      <c r="C77" s="12"/>
      <c r="D77" s="9" t="s">
        <v>137</v>
      </c>
    </row>
    <row r="78" spans="1:6" ht="17" thickBot="1">
      <c r="B78" s="11" t="str">
        <f t="shared" ca="1" si="1"/>
        <v/>
      </c>
      <c r="C78" s="12"/>
      <c r="D78" s="9" t="s">
        <v>139</v>
      </c>
    </row>
    <row r="79" spans="1:6" ht="17" thickBot="1">
      <c r="B79" s="11" t="str">
        <f t="shared" ca="1" si="1"/>
        <v/>
      </c>
      <c r="C79" s="12"/>
      <c r="D79" s="9" t="s">
        <v>138</v>
      </c>
      <c r="E79" s="8"/>
    </row>
    <row r="80" spans="1:6" ht="17" thickBot="1">
      <c r="B80" s="11" t="str">
        <f t="shared" ca="1" si="1"/>
        <v/>
      </c>
      <c r="C80" s="12"/>
      <c r="D80" s="9" t="s">
        <v>140</v>
      </c>
    </row>
    <row r="81" spans="1:5" ht="17" thickBot="1">
      <c r="B81" s="11" t="str">
        <f t="shared" ca="1" si="1"/>
        <v/>
      </c>
      <c r="C81" s="12"/>
      <c r="D81" s="9" t="s">
        <v>141</v>
      </c>
    </row>
    <row r="83" spans="1:5">
      <c r="A83" s="19"/>
      <c r="B83" s="20"/>
      <c r="C83" s="20"/>
      <c r="E83" s="20"/>
    </row>
    <row r="84" spans="1:5">
      <c r="A84" s="19"/>
      <c r="B84" s="21"/>
      <c r="C84" s="20"/>
      <c r="E84" s="20"/>
    </row>
    <row r="85" spans="1:5">
      <c r="A85" s="19"/>
      <c r="B85" s="21"/>
      <c r="C85" s="20"/>
      <c r="E85" s="20"/>
    </row>
    <row r="86" spans="1:5">
      <c r="A86" s="19"/>
      <c r="B86" s="20"/>
      <c r="C86" s="20"/>
      <c r="E86" s="20"/>
    </row>
    <row r="87" spans="1:5">
      <c r="A87" s="19"/>
      <c r="B87" s="20"/>
      <c r="C87" s="20"/>
      <c r="E87" s="20"/>
    </row>
    <row r="88" spans="1:5">
      <c r="A88" s="19"/>
      <c r="B88" s="20"/>
      <c r="C88" s="20"/>
      <c r="E88" s="20"/>
    </row>
    <row r="89" spans="1:5">
      <c r="A89" s="19"/>
      <c r="B89" s="20"/>
      <c r="C89" s="20"/>
      <c r="E89" s="20"/>
    </row>
    <row r="90" spans="1:5">
      <c r="A90" s="19"/>
      <c r="B90" s="20"/>
      <c r="C90" s="20"/>
      <c r="E90" s="20"/>
    </row>
    <row r="91" spans="1:5">
      <c r="A91" s="19"/>
      <c r="B91" s="20"/>
      <c r="C91" s="20"/>
      <c r="E91" s="20"/>
    </row>
    <row r="92" spans="1:5">
      <c r="A92" s="19"/>
      <c r="B92" s="20"/>
      <c r="C92" s="20"/>
      <c r="E92" s="20"/>
    </row>
    <row r="93" spans="1:5">
      <c r="A93" s="19"/>
      <c r="B93" s="20"/>
      <c r="C93" s="20"/>
      <c r="E93" s="20"/>
    </row>
    <row r="94" spans="1:5">
      <c r="A94" s="19"/>
      <c r="B94" s="20"/>
      <c r="C94" s="20"/>
      <c r="E94" s="20"/>
    </row>
    <row r="95" spans="1:5">
      <c r="A95" s="19"/>
      <c r="B95" s="20"/>
      <c r="C95" s="20"/>
      <c r="E95" s="20"/>
    </row>
    <row r="96" spans="1:5">
      <c r="A96" s="19"/>
      <c r="B96" s="20"/>
      <c r="C96" s="20"/>
      <c r="E96" s="20"/>
    </row>
    <row r="97" spans="1:5">
      <c r="A97" s="19"/>
      <c r="B97" s="20"/>
      <c r="C97" s="20"/>
      <c r="E97" s="20"/>
    </row>
    <row r="98" spans="1:5">
      <c r="A98" s="19"/>
      <c r="B98" s="20"/>
      <c r="C98" s="20"/>
      <c r="E98" s="20"/>
    </row>
    <row r="99" spans="1:5">
      <c r="A99" s="19"/>
      <c r="B99" s="20"/>
      <c r="C99" s="20"/>
      <c r="E99" s="20"/>
    </row>
    <row r="100" spans="1:5">
      <c r="A100" s="19"/>
      <c r="B100" s="20"/>
      <c r="C100" s="20"/>
      <c r="E100" s="20"/>
    </row>
    <row r="101" spans="1:5">
      <c r="A101" s="19"/>
      <c r="B101" s="20"/>
      <c r="C101" s="20"/>
      <c r="E101" s="20"/>
    </row>
    <row r="102" spans="1:5">
      <c r="A102" s="19"/>
      <c r="B102" s="20"/>
      <c r="C102" s="20"/>
      <c r="E102" s="20"/>
    </row>
    <row r="103" spans="1:5">
      <c r="A103" s="19"/>
      <c r="B103" s="20"/>
      <c r="C103" s="20"/>
      <c r="E103" s="20"/>
    </row>
    <row r="104" spans="1:5">
      <c r="C104" s="18"/>
    </row>
    <row r="105" spans="1:5">
      <c r="C105" s="18"/>
    </row>
    <row r="106" spans="1:5">
      <c r="C106" s="18"/>
    </row>
    <row r="107" spans="1:5">
      <c r="C107" s="18"/>
    </row>
    <row r="108" spans="1:5">
      <c r="C108" s="18"/>
    </row>
    <row r="109" spans="1:5">
      <c r="C109" s="18"/>
    </row>
    <row r="110" spans="1:5">
      <c r="C110" s="18"/>
    </row>
    <row r="111" spans="1:5">
      <c r="C111" s="18"/>
    </row>
    <row r="112" spans="1:5">
      <c r="C112" s="18"/>
    </row>
    <row r="113" spans="3:3">
      <c r="C113" s="18"/>
    </row>
    <row r="114" spans="3:3">
      <c r="C114" s="18"/>
    </row>
    <row r="115" spans="3:3">
      <c r="C115" s="18"/>
    </row>
    <row r="116" spans="3:3">
      <c r="C116" s="18"/>
    </row>
    <row r="117" spans="3:3">
      <c r="C117" s="18"/>
    </row>
    <row r="118" spans="3:3">
      <c r="C118" s="18"/>
    </row>
    <row r="119" spans="3:3">
      <c r="C119" s="18"/>
    </row>
    <row r="120" spans="3:3">
      <c r="C120" s="18"/>
    </row>
    <row r="121" spans="3:3">
      <c r="C121" s="18"/>
    </row>
    <row r="122" spans="3:3">
      <c r="C122" s="18"/>
    </row>
    <row r="151" spans="10:14">
      <c r="J151" s="19"/>
      <c r="K151" s="20"/>
      <c r="L151" s="20"/>
      <c r="N151" s="20"/>
    </row>
    <row r="152" spans="10:14">
      <c r="J152" s="19"/>
      <c r="K152" s="20"/>
      <c r="L152" s="20"/>
      <c r="N152" s="20"/>
    </row>
  </sheetData>
  <mergeCells count="2">
    <mergeCell ref="A70:F70"/>
    <mergeCell ref="A26:F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N118"/>
  <sheetViews>
    <sheetView zoomScale="128" zoomScaleNormal="128" zoomScalePageLayoutView="128" workbookViewId="0"/>
  </sheetViews>
  <sheetFormatPr baseColWidth="10" defaultColWidth="11" defaultRowHeight="16"/>
  <cols>
    <col min="1" max="1" width="8" customWidth="1"/>
    <col min="2" max="2" width="27.6640625" customWidth="1"/>
    <col min="3" max="3" width="11.33203125" bestFit="1" customWidth="1"/>
    <col min="4" max="4" width="13.5" customWidth="1"/>
    <col min="5" max="5" width="16.33203125" customWidth="1"/>
    <col min="10" max="10" width="13.1640625" customWidth="1"/>
    <col min="14" max="14" width="12.83203125" bestFit="1" customWidth="1"/>
  </cols>
  <sheetData>
    <row r="1" spans="1:5" s="6" customFormat="1" ht="24">
      <c r="A1" s="2" t="s">
        <v>125</v>
      </c>
      <c r="D1" s="7"/>
    </row>
    <row r="2" spans="1:5" ht="24">
      <c r="A2" s="2"/>
      <c r="B2" s="2"/>
      <c r="D2" s="1"/>
    </row>
    <row r="3" spans="1:5">
      <c r="A3" s="3" t="s">
        <v>28</v>
      </c>
      <c r="D3" s="9"/>
      <c r="E3" s="8"/>
    </row>
    <row r="4" spans="1:5">
      <c r="D4" s="9"/>
      <c r="E4" s="8"/>
    </row>
    <row r="5" spans="1:5">
      <c r="B5" s="22">
        <v>1</v>
      </c>
      <c r="C5" s="23">
        <v>3</v>
      </c>
      <c r="D5" s="24">
        <v>5</v>
      </c>
    </row>
    <row r="6" spans="1:5">
      <c r="B6" s="25">
        <v>2</v>
      </c>
      <c r="C6" s="26">
        <v>4</v>
      </c>
      <c r="D6" s="27">
        <v>6</v>
      </c>
    </row>
    <row r="7" spans="1:5" ht="17" thickBot="1">
      <c r="D7" s="9"/>
      <c r="E7" s="8"/>
    </row>
    <row r="8" spans="1:5" ht="17" thickBot="1">
      <c r="B8" s="11" t="str">
        <f ca="1">_xlfn.FORMULATEXT(C8)</f>
        <v>=SUM(B5:D6)</v>
      </c>
      <c r="C8" s="28">
        <f>SUM(B5:D6)</f>
        <v>21</v>
      </c>
      <c r="D8" s="9" t="s">
        <v>29</v>
      </c>
      <c r="E8" s="8"/>
    </row>
    <row r="9" spans="1:5" ht="17" thickBot="1">
      <c r="B9" s="11" t="str">
        <f t="shared" ref="B9:B21" ca="1" si="0">_xlfn.FORMULATEXT(C9)</f>
        <v>=SUM(1,2,3)</v>
      </c>
      <c r="C9" s="28">
        <f>SUM(1,2,3)</f>
        <v>6</v>
      </c>
      <c r="D9" s="9" t="s">
        <v>30</v>
      </c>
      <c r="E9" s="8"/>
    </row>
    <row r="10" spans="1:5" ht="17" thickBot="1">
      <c r="B10" s="11" t="str">
        <f t="shared" ca="1" si="0"/>
        <v>=SUM(C6,D5,B5)</v>
      </c>
      <c r="C10" s="28">
        <f>SUM(C6,D5,B5)</f>
        <v>10</v>
      </c>
      <c r="D10" s="9" t="s">
        <v>31</v>
      </c>
      <c r="E10" s="8"/>
    </row>
    <row r="11" spans="1:5" ht="17" thickBot="1">
      <c r="B11" s="11" t="str">
        <f t="shared" ca="1" si="0"/>
        <v>=SUM(1,2,3,C5,C6,B5:D6)</v>
      </c>
      <c r="C11" s="28">
        <f>SUM(1,2,3,C5,C6,B5:D6)</f>
        <v>34</v>
      </c>
      <c r="D11" s="9" t="s">
        <v>32</v>
      </c>
      <c r="E11" s="8"/>
    </row>
    <row r="12" spans="1:5">
      <c r="B12" s="9"/>
      <c r="C12" s="9"/>
      <c r="D12" s="9"/>
      <c r="E12" s="8"/>
    </row>
    <row r="13" spans="1:5">
      <c r="B13" s="29" t="s">
        <v>33</v>
      </c>
      <c r="C13" s="30" t="s">
        <v>34</v>
      </c>
      <c r="D13" s="31" t="s">
        <v>35</v>
      </c>
      <c r="E13" s="8"/>
    </row>
    <row r="14" spans="1:5">
      <c r="B14" s="32">
        <v>1</v>
      </c>
      <c r="C14" s="33">
        <v>3</v>
      </c>
      <c r="D14" s="34"/>
      <c r="E14" s="8"/>
    </row>
    <row r="15" spans="1:5">
      <c r="B15" s="35">
        <v>2</v>
      </c>
      <c r="C15" s="36">
        <v>4</v>
      </c>
      <c r="D15" s="37">
        <v>3</v>
      </c>
      <c r="E15" s="8"/>
    </row>
    <row r="16" spans="1:5" ht="17" thickBot="1">
      <c r="D16" s="9"/>
      <c r="E16" s="8"/>
    </row>
    <row r="17" spans="1:6" ht="17" thickBot="1">
      <c r="B17" s="11" t="str">
        <f t="shared" ca="1" si="0"/>
        <v>=COUNT(B13:D15)</v>
      </c>
      <c r="C17" s="28">
        <f>COUNT(B13:D15)</f>
        <v>5</v>
      </c>
      <c r="D17" s="9" t="s">
        <v>36</v>
      </c>
      <c r="E17" s="8"/>
    </row>
    <row r="18" spans="1:6" ht="17" thickBot="1">
      <c r="B18" s="11" t="str">
        <f t="shared" ca="1" si="0"/>
        <v>=COUNTA(B13:D15)</v>
      </c>
      <c r="C18" s="28">
        <f>COUNTA(B13:D15)</f>
        <v>8</v>
      </c>
      <c r="D18" s="9" t="s">
        <v>37</v>
      </c>
      <c r="E18" s="8"/>
    </row>
    <row r="19" spans="1:6" ht="17" thickBot="1">
      <c r="B19" s="11" t="str">
        <f t="shared" ca="1" si="0"/>
        <v>=AVERAGE(B13:D15)</v>
      </c>
      <c r="C19" s="57">
        <f>AVERAGE(B13:D15)</f>
        <v>2.6</v>
      </c>
      <c r="D19" s="9" t="s">
        <v>40</v>
      </c>
      <c r="E19" s="8"/>
    </row>
    <row r="20" spans="1:6" ht="17" thickBot="1">
      <c r="B20" s="11" t="str">
        <f t="shared" ca="1" si="0"/>
        <v>=MIN(B13:D15)</v>
      </c>
      <c r="C20" s="28">
        <f>MIN(B13:D15)</f>
        <v>1</v>
      </c>
      <c r="D20" s="9" t="s">
        <v>39</v>
      </c>
      <c r="E20" s="8"/>
    </row>
    <row r="21" spans="1:6" ht="17" thickBot="1">
      <c r="B21" s="11" t="str">
        <f t="shared" ca="1" si="0"/>
        <v>=MAX(B13:D15)</v>
      </c>
      <c r="C21" s="28">
        <f>MAX(B13:D15)</f>
        <v>4</v>
      </c>
      <c r="D21" s="9" t="s">
        <v>38</v>
      </c>
    </row>
    <row r="23" spans="1:6">
      <c r="A23" t="s">
        <v>27</v>
      </c>
    </row>
    <row r="24" spans="1:6">
      <c r="A24" s="56" t="s">
        <v>13</v>
      </c>
      <c r="B24" s="56"/>
      <c r="C24" s="56"/>
      <c r="D24" s="56"/>
      <c r="E24" s="56"/>
      <c r="F24" s="56"/>
    </row>
    <row r="25" spans="1:6">
      <c r="D25" s="9"/>
    </row>
    <row r="26" spans="1:6">
      <c r="B26" s="3" t="s">
        <v>26</v>
      </c>
      <c r="C26" s="3"/>
      <c r="D26" s="9"/>
      <c r="E26" s="3" t="s">
        <v>45</v>
      </c>
    </row>
    <row r="27" spans="1:6">
      <c r="B27" t="s">
        <v>42</v>
      </c>
      <c r="C27" s="17">
        <v>20</v>
      </c>
      <c r="D27" s="9"/>
      <c r="E27" t="s">
        <v>46</v>
      </c>
      <c r="F27">
        <v>23</v>
      </c>
    </row>
    <row r="28" spans="1:6">
      <c r="B28" t="s">
        <v>41</v>
      </c>
      <c r="C28" s="17">
        <v>34</v>
      </c>
      <c r="D28" s="9"/>
      <c r="E28" t="s">
        <v>47</v>
      </c>
      <c r="F28">
        <v>3</v>
      </c>
    </row>
    <row r="29" spans="1:6">
      <c r="B29" t="s">
        <v>43</v>
      </c>
      <c r="C29" s="17">
        <v>10</v>
      </c>
      <c r="D29" s="9"/>
      <c r="E29" t="s">
        <v>48</v>
      </c>
      <c r="F29">
        <v>43</v>
      </c>
    </row>
    <row r="30" spans="1:6">
      <c r="B30" t="s">
        <v>44</v>
      </c>
      <c r="C30" s="17">
        <v>23</v>
      </c>
      <c r="D30" s="9"/>
      <c r="E30" t="s">
        <v>49</v>
      </c>
      <c r="F30">
        <v>20</v>
      </c>
    </row>
    <row r="31" spans="1:6">
      <c r="D31" s="9"/>
      <c r="E31" t="s">
        <v>144</v>
      </c>
      <c r="F31">
        <v>3</v>
      </c>
    </row>
    <row r="32" spans="1:6">
      <c r="D32" s="9"/>
    </row>
    <row r="33" spans="2:5">
      <c r="D33" s="9"/>
    </row>
    <row r="34" spans="2:5" ht="17" thickBot="1">
      <c r="D34" s="9"/>
    </row>
    <row r="35" spans="2:5" ht="17" thickBot="1">
      <c r="B35" s="11" t="str">
        <f t="shared" ref="B35:B39" ca="1" si="1">IFERROR(_xlfn.FORMULATEXT(C35),"")</f>
        <v/>
      </c>
      <c r="C35" s="14"/>
      <c r="D35" s="9" t="s">
        <v>50</v>
      </c>
    </row>
    <row r="36" spans="2:5" ht="17" thickBot="1">
      <c r="B36" s="11" t="str">
        <f t="shared" ca="1" si="1"/>
        <v/>
      </c>
      <c r="C36" s="14"/>
      <c r="D36" s="9" t="s">
        <v>51</v>
      </c>
    </row>
    <row r="37" spans="2:5" ht="17" thickBot="1">
      <c r="B37" s="11" t="str">
        <f t="shared" ca="1" si="1"/>
        <v/>
      </c>
      <c r="C37" s="16"/>
      <c r="D37" s="9" t="s">
        <v>52</v>
      </c>
    </row>
    <row r="38" spans="2:5" ht="17" thickBot="1">
      <c r="B38" s="11" t="str">
        <f t="shared" ca="1" si="1"/>
        <v/>
      </c>
      <c r="C38" s="16"/>
      <c r="D38" s="9" t="s">
        <v>145</v>
      </c>
      <c r="E38" s="8"/>
    </row>
    <row r="39" spans="2:5" ht="17" thickBot="1">
      <c r="B39" s="11" t="str">
        <f t="shared" ca="1" si="1"/>
        <v/>
      </c>
      <c r="C39" s="12"/>
      <c r="D39" s="9" t="s">
        <v>53</v>
      </c>
    </row>
    <row r="40" spans="2:5">
      <c r="D40" s="9"/>
    </row>
    <row r="41" spans="2:5" ht="17" thickBot="1">
      <c r="D41" s="9"/>
    </row>
    <row r="42" spans="2:5" ht="17" thickBot="1">
      <c r="B42" t="s">
        <v>26</v>
      </c>
      <c r="C42" s="39">
        <v>10000</v>
      </c>
    </row>
    <row r="43" spans="2:5">
      <c r="B43" t="s">
        <v>56</v>
      </c>
      <c r="C43" s="38">
        <v>0.1</v>
      </c>
    </row>
    <row r="44" spans="2:5">
      <c r="B44" t="s">
        <v>54</v>
      </c>
      <c r="C44" s="17">
        <v>5000</v>
      </c>
    </row>
    <row r="45" spans="2:5">
      <c r="B45" t="s">
        <v>55</v>
      </c>
      <c r="C45" s="17">
        <v>50</v>
      </c>
      <c r="E45" s="8"/>
    </row>
    <row r="46" spans="2:5" ht="17" thickBot="1"/>
    <row r="47" spans="2:5" ht="17" thickBot="1">
      <c r="B47" s="11" t="str">
        <f t="shared" ref="B47:B50" ca="1" si="2">IFERROR(_xlfn.FORMULATEXT(C47),"")</f>
        <v/>
      </c>
      <c r="C47" s="12"/>
      <c r="D47" s="9" t="s">
        <v>146</v>
      </c>
    </row>
    <row r="48" spans="2:5" ht="17" thickBot="1">
      <c r="B48" s="11" t="str">
        <f t="shared" ca="1" si="2"/>
        <v/>
      </c>
      <c r="C48" s="12"/>
      <c r="D48" s="9" t="s">
        <v>57</v>
      </c>
    </row>
    <row r="49" spans="1:5" ht="17" thickBot="1">
      <c r="A49" s="19"/>
      <c r="B49" s="11" t="str">
        <f t="shared" ca="1" si="2"/>
        <v/>
      </c>
      <c r="C49" s="12"/>
      <c r="D49" s="9" t="s">
        <v>58</v>
      </c>
      <c r="E49" s="20"/>
    </row>
    <row r="50" spans="1:5" ht="17" thickBot="1">
      <c r="A50" s="19"/>
      <c r="B50" s="11" t="str">
        <f t="shared" ca="1" si="2"/>
        <v/>
      </c>
      <c r="C50" s="12"/>
      <c r="D50" s="9" t="s">
        <v>59</v>
      </c>
      <c r="E50" s="20"/>
    </row>
    <row r="51" spans="1:5">
      <c r="A51" s="19"/>
      <c r="B51" s="21"/>
      <c r="C51" s="20"/>
      <c r="E51" s="20"/>
    </row>
    <row r="52" spans="1:5">
      <c r="A52" s="19"/>
      <c r="B52" s="20"/>
      <c r="C52" s="20"/>
      <c r="E52" s="20"/>
    </row>
    <row r="53" spans="1:5">
      <c r="A53" s="19"/>
      <c r="B53" s="20"/>
      <c r="C53" s="20"/>
      <c r="E53" s="20"/>
    </row>
    <row r="54" spans="1:5">
      <c r="A54" s="19"/>
      <c r="B54" s="20"/>
      <c r="C54" s="20"/>
      <c r="E54" s="20"/>
    </row>
    <row r="55" spans="1:5">
      <c r="A55" s="19"/>
      <c r="B55" s="20"/>
      <c r="C55" s="20"/>
      <c r="E55" s="20"/>
    </row>
    <row r="56" spans="1:5">
      <c r="A56" s="19"/>
      <c r="B56" s="20"/>
      <c r="C56" s="20"/>
      <c r="E56" s="20"/>
    </row>
    <row r="57" spans="1:5">
      <c r="A57" s="19"/>
      <c r="B57" s="20"/>
      <c r="C57" s="20"/>
      <c r="E57" s="20"/>
    </row>
    <row r="58" spans="1:5">
      <c r="A58" s="19"/>
      <c r="B58" s="20"/>
      <c r="C58" s="20"/>
      <c r="E58" s="20"/>
    </row>
    <row r="59" spans="1:5">
      <c r="A59" s="19"/>
      <c r="B59" s="20"/>
      <c r="C59" s="20"/>
      <c r="E59" s="20"/>
    </row>
    <row r="60" spans="1:5">
      <c r="A60" s="19"/>
      <c r="B60" s="20"/>
      <c r="C60" s="20"/>
      <c r="E60" s="20"/>
    </row>
    <row r="61" spans="1:5">
      <c r="A61" s="19"/>
      <c r="B61" s="20"/>
      <c r="C61" s="20"/>
      <c r="E61" s="20"/>
    </row>
    <row r="62" spans="1:5">
      <c r="A62" s="19"/>
      <c r="B62" s="20"/>
      <c r="C62" s="20"/>
      <c r="E62" s="20"/>
    </row>
    <row r="63" spans="1:5">
      <c r="A63" s="19"/>
      <c r="B63" s="20"/>
      <c r="C63" s="20"/>
      <c r="E63" s="20"/>
    </row>
    <row r="64" spans="1:5">
      <c r="A64" s="19"/>
      <c r="B64" s="20"/>
      <c r="C64" s="20"/>
      <c r="E64" s="20"/>
    </row>
    <row r="65" spans="1:5">
      <c r="A65" s="19"/>
      <c r="B65" s="20"/>
      <c r="C65" s="20"/>
      <c r="E65" s="20"/>
    </row>
    <row r="66" spans="1:5">
      <c r="A66" s="19"/>
      <c r="B66" s="20"/>
      <c r="C66" s="20"/>
      <c r="E66" s="20"/>
    </row>
    <row r="67" spans="1:5">
      <c r="A67" s="19"/>
      <c r="B67" s="20"/>
      <c r="C67" s="20"/>
      <c r="E67" s="20"/>
    </row>
    <row r="68" spans="1:5">
      <c r="A68" s="19"/>
      <c r="B68" s="20"/>
      <c r="C68" s="20"/>
      <c r="E68" s="20"/>
    </row>
    <row r="69" spans="1:5">
      <c r="A69" s="19"/>
      <c r="B69" s="20"/>
      <c r="C69" s="20"/>
      <c r="E69" s="20"/>
    </row>
    <row r="70" spans="1:5">
      <c r="C70" s="18"/>
    </row>
    <row r="71" spans="1:5">
      <c r="C71" s="18"/>
    </row>
    <row r="72" spans="1:5">
      <c r="C72" s="18"/>
    </row>
    <row r="73" spans="1:5">
      <c r="C73" s="18"/>
    </row>
    <row r="74" spans="1:5">
      <c r="C74" s="18"/>
    </row>
    <row r="75" spans="1:5">
      <c r="C75" s="18"/>
    </row>
    <row r="76" spans="1:5">
      <c r="C76" s="18"/>
    </row>
    <row r="77" spans="1:5">
      <c r="C77" s="18"/>
    </row>
    <row r="78" spans="1:5">
      <c r="C78" s="18"/>
    </row>
    <row r="79" spans="1:5">
      <c r="C79" s="18"/>
    </row>
    <row r="80" spans="1:5">
      <c r="C80" s="18"/>
    </row>
    <row r="81" spans="3:3">
      <c r="C81" s="18"/>
    </row>
    <row r="82" spans="3:3">
      <c r="C82" s="18"/>
    </row>
    <row r="83" spans="3:3">
      <c r="C83" s="18"/>
    </row>
    <row r="84" spans="3:3">
      <c r="C84" s="18"/>
    </row>
    <row r="85" spans="3:3">
      <c r="C85" s="18"/>
    </row>
    <row r="86" spans="3:3">
      <c r="C86" s="18"/>
    </row>
    <row r="87" spans="3:3">
      <c r="C87" s="18"/>
    </row>
    <row r="88" spans="3:3">
      <c r="C88" s="18"/>
    </row>
    <row r="117" spans="10:14">
      <c r="J117" s="19"/>
      <c r="K117" s="20"/>
      <c r="L117" s="20"/>
      <c r="N117" s="20"/>
    </row>
    <row r="118" spans="10:14">
      <c r="J118" s="19"/>
      <c r="K118" s="20"/>
      <c r="L118" s="20"/>
      <c r="N118" s="20"/>
    </row>
  </sheetData>
  <mergeCells count="1">
    <mergeCell ref="A24:F24"/>
  </mergeCells>
  <pageMargins left="0.7" right="0.7" top="0.75" bottom="0.75" header="0.3" footer="0.3"/>
  <pageSetup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N132"/>
  <sheetViews>
    <sheetView zoomScale="128" zoomScaleNormal="128" zoomScalePageLayoutView="128" workbookViewId="0"/>
  </sheetViews>
  <sheetFormatPr baseColWidth="10" defaultColWidth="11" defaultRowHeight="16"/>
  <cols>
    <col min="1" max="1" width="20.1640625" customWidth="1"/>
    <col min="2" max="2" width="20.5" bestFit="1" customWidth="1"/>
    <col min="3" max="3" width="18" customWidth="1"/>
    <col min="4" max="4" width="13.5" customWidth="1"/>
    <col min="5" max="5" width="16.33203125" customWidth="1"/>
    <col min="10" max="10" width="13.1640625" customWidth="1"/>
    <col min="14" max="14" width="12.83203125" bestFit="1" customWidth="1"/>
  </cols>
  <sheetData>
    <row r="1" spans="1:13" s="6" customFormat="1" ht="24">
      <c r="A1" s="2" t="s">
        <v>86</v>
      </c>
      <c r="D1" s="7"/>
    </row>
    <row r="2" spans="1:13" ht="24">
      <c r="A2" s="2"/>
      <c r="B2" s="2"/>
      <c r="D2" s="1"/>
    </row>
    <row r="3" spans="1:13">
      <c r="A3" s="3" t="s">
        <v>1</v>
      </c>
      <c r="D3" s="9"/>
      <c r="E3" s="8"/>
    </row>
    <row r="4" spans="1:13">
      <c r="A4" t="s">
        <v>2</v>
      </c>
      <c r="D4" s="9"/>
      <c r="E4" s="8"/>
    </row>
    <row r="5" spans="1:13">
      <c r="A5" t="s">
        <v>3</v>
      </c>
      <c r="D5" s="9"/>
      <c r="E5" s="8"/>
    </row>
    <row r="6" spans="1:13">
      <c r="A6" t="s">
        <v>4</v>
      </c>
      <c r="D6" s="9"/>
      <c r="E6" s="8"/>
      <c r="J6" s="49"/>
    </row>
    <row r="7" spans="1:13" ht="17" thickBot="1">
      <c r="D7" s="9"/>
      <c r="E7" s="8"/>
      <c r="J7" s="50"/>
      <c r="M7" s="51"/>
    </row>
    <row r="8" spans="1:13" ht="17" thickBot="1">
      <c r="A8" t="s">
        <v>101</v>
      </c>
      <c r="B8" s="11" t="str">
        <f ca="1">_xlfn.FORMULATEXT(C8)</f>
        <v>=NOW()</v>
      </c>
      <c r="C8" s="47">
        <f ca="1">NOW()</f>
        <v>46259.543213078701</v>
      </c>
      <c r="D8" s="9" t="s">
        <v>123</v>
      </c>
      <c r="E8" s="8"/>
    </row>
    <row r="9" spans="1:13">
      <c r="B9" s="11" t="str">
        <f ca="1">_xlfn.FORMULATEXT(C9)</f>
        <v>=TODAY()</v>
      </c>
      <c r="C9" s="48">
        <f ca="1">TODAY()</f>
        <v>46259</v>
      </c>
      <c r="D9" s="9" t="s">
        <v>124</v>
      </c>
      <c r="E9" s="8"/>
      <c r="M9" s="18"/>
    </row>
    <row r="10" spans="1:13">
      <c r="D10" s="9"/>
      <c r="E10" s="8"/>
    </row>
    <row r="11" spans="1:13">
      <c r="A11" t="s">
        <v>102</v>
      </c>
      <c r="B11" s="13" t="s">
        <v>87</v>
      </c>
      <c r="C11" s="41">
        <v>43466</v>
      </c>
      <c r="D11" s="9" t="s">
        <v>89</v>
      </c>
      <c r="E11" s="8"/>
    </row>
    <row r="12" spans="1:13" ht="17" thickBot="1">
      <c r="B12" s="13" t="s">
        <v>88</v>
      </c>
      <c r="C12" s="41">
        <v>43475</v>
      </c>
      <c r="D12" s="9"/>
      <c r="E12" s="8"/>
    </row>
    <row r="13" spans="1:13" ht="17" thickBot="1">
      <c r="B13" s="11" t="str">
        <f ca="1">_xlfn.FORMULATEXT(C13)</f>
        <v>=NETWORKDAYS(C11,C12)</v>
      </c>
      <c r="C13" s="12">
        <f>NETWORKDAYS(C11,C12)</f>
        <v>8</v>
      </c>
      <c r="D13" s="9"/>
      <c r="E13" s="8"/>
    </row>
    <row r="14" spans="1:13">
      <c r="D14" s="9"/>
      <c r="E14" s="8"/>
    </row>
    <row r="15" spans="1:13">
      <c r="D15" s="9"/>
      <c r="E15" s="8"/>
    </row>
    <row r="16" spans="1:13" ht="17" thickBot="1">
      <c r="A16" t="s">
        <v>103</v>
      </c>
      <c r="B16" s="13" t="s">
        <v>5</v>
      </c>
      <c r="C16" s="52">
        <v>43466</v>
      </c>
      <c r="D16" s="9" t="s">
        <v>90</v>
      </c>
      <c r="E16" s="8"/>
    </row>
    <row r="17" spans="1:7" ht="17" thickBot="1">
      <c r="B17" s="11" t="str">
        <f ca="1">_xlfn.FORMULATEXT(C17)</f>
        <v>=DAY(C16)</v>
      </c>
      <c r="C17" s="42">
        <f>DAY(C16)</f>
        <v>1</v>
      </c>
      <c r="D17" s="9" t="s">
        <v>91</v>
      </c>
      <c r="E17" s="8"/>
    </row>
    <row r="18" spans="1:7" ht="17" thickBot="1">
      <c r="B18" s="11" t="str">
        <f ca="1">_xlfn.FORMULATEXT(C18)</f>
        <v>=YEAR(C16)</v>
      </c>
      <c r="C18" s="42">
        <f>YEAR(C16)</f>
        <v>2019</v>
      </c>
      <c r="D18" s="9" t="s">
        <v>92</v>
      </c>
      <c r="E18" s="8"/>
    </row>
    <row r="19" spans="1:7" ht="17" thickBot="1">
      <c r="B19" s="11" t="str">
        <f ca="1">_xlfn.FORMULATEXT(C19)</f>
        <v>=MONTH(C16)</v>
      </c>
      <c r="C19" s="42">
        <f>MONTH(C16)</f>
        <v>1</v>
      </c>
      <c r="D19" s="9" t="s">
        <v>93</v>
      </c>
      <c r="E19" s="8"/>
    </row>
    <row r="20" spans="1:7">
      <c r="D20" s="9"/>
      <c r="E20" s="8"/>
    </row>
    <row r="21" spans="1:7">
      <c r="A21" t="s">
        <v>104</v>
      </c>
      <c r="B21" s="13" t="s">
        <v>95</v>
      </c>
      <c r="C21" s="13">
        <v>7</v>
      </c>
      <c r="D21" s="9" t="s">
        <v>94</v>
      </c>
      <c r="E21" s="8"/>
    </row>
    <row r="22" spans="1:7" ht="17" thickBot="1">
      <c r="B22" s="13" t="s">
        <v>96</v>
      </c>
      <c r="C22" s="15">
        <v>43466</v>
      </c>
      <c r="D22" s="9"/>
      <c r="E22" s="8"/>
    </row>
    <row r="23" spans="1:7" ht="17" thickBot="1">
      <c r="B23" s="11" t="str">
        <f ca="1">_xlfn.FORMULATEXT(C23)</f>
        <v>=C22+C21</v>
      </c>
      <c r="C23" s="14">
        <f>C22+C21</f>
        <v>43473</v>
      </c>
      <c r="D23" s="9" t="s">
        <v>97</v>
      </c>
      <c r="E23" s="8"/>
    </row>
    <row r="24" spans="1:7">
      <c r="D24" s="9"/>
      <c r="E24" s="8"/>
    </row>
    <row r="25" spans="1:7">
      <c r="A25" t="s">
        <v>110</v>
      </c>
      <c r="B25" s="13" t="s">
        <v>92</v>
      </c>
      <c r="C25" s="13">
        <v>2026</v>
      </c>
      <c r="D25" s="9" t="s">
        <v>149</v>
      </c>
      <c r="E25" s="8"/>
    </row>
    <row r="26" spans="1:7">
      <c r="B26" s="13" t="s">
        <v>93</v>
      </c>
      <c r="C26" s="13">
        <v>12</v>
      </c>
      <c r="D26" s="9"/>
      <c r="E26" s="8"/>
    </row>
    <row r="27" spans="1:7" ht="17" thickBot="1">
      <c r="B27" s="13" t="s">
        <v>91</v>
      </c>
      <c r="C27" s="45">
        <v>30</v>
      </c>
      <c r="D27" s="9"/>
      <c r="E27" s="8"/>
    </row>
    <row r="28" spans="1:7" ht="17" thickBot="1">
      <c r="B28" s="11" t="str">
        <f ca="1">_xlfn.FORMULATEXT(C28)</f>
        <v>=DATE(C25,C26,C27)</v>
      </c>
      <c r="C28" s="14">
        <f>DATE(C25,C26,C27)</f>
        <v>46386</v>
      </c>
      <c r="D28" s="9"/>
      <c r="E28" s="8"/>
    </row>
    <row r="29" spans="1:7">
      <c r="D29" s="9"/>
      <c r="E29" s="8"/>
      <c r="F29" s="19"/>
      <c r="G29" s="19"/>
    </row>
    <row r="30" spans="1:7" ht="17" thickBot="1">
      <c r="A30" t="s">
        <v>105</v>
      </c>
      <c r="B30" s="13" t="s">
        <v>148</v>
      </c>
      <c r="C30" s="43">
        <v>8.6435185185185184E-2</v>
      </c>
      <c r="D30" s="9" t="s">
        <v>98</v>
      </c>
      <c r="E30" s="8"/>
    </row>
    <row r="31" spans="1:7" ht="17" thickBot="1">
      <c r="B31" s="11" t="str">
        <f ca="1">_xlfn.FORMULATEXT(C31)</f>
        <v>=HOUR(C30)</v>
      </c>
      <c r="C31" s="12">
        <f>HOUR(C30)</f>
        <v>2</v>
      </c>
      <c r="D31" s="9" t="s">
        <v>100</v>
      </c>
      <c r="E31" s="8"/>
    </row>
    <row r="32" spans="1:7" ht="17" thickBot="1">
      <c r="B32" s="11" t="str">
        <f ca="1">_xlfn.FORMULATEXT(C32)</f>
        <v>=MINUTE(C30)</v>
      </c>
      <c r="C32" s="12">
        <f>MINUTE(C30)</f>
        <v>4</v>
      </c>
      <c r="D32" s="9" t="s">
        <v>99</v>
      </c>
      <c r="E32" s="8"/>
    </row>
    <row r="33" spans="1:6" ht="17" thickBot="1">
      <c r="B33" s="11" t="str">
        <f ca="1">_xlfn.FORMULATEXT(C33)</f>
        <v>=SECOND(C30)</v>
      </c>
      <c r="C33" s="12">
        <f>SECOND(C30)</f>
        <v>28</v>
      </c>
      <c r="D33" s="9" t="s">
        <v>114</v>
      </c>
      <c r="E33" s="8"/>
    </row>
    <row r="34" spans="1:6">
      <c r="C34" s="44"/>
      <c r="D34" s="9"/>
      <c r="E34" s="8"/>
    </row>
    <row r="35" spans="1:6">
      <c r="A35" t="s">
        <v>111</v>
      </c>
      <c r="B35" s="13" t="s">
        <v>112</v>
      </c>
      <c r="C35" s="13">
        <v>3</v>
      </c>
      <c r="D35" s="9" t="s">
        <v>115</v>
      </c>
      <c r="E35" s="8"/>
    </row>
    <row r="36" spans="1:6">
      <c r="B36" s="13" t="s">
        <v>113</v>
      </c>
      <c r="C36" s="13">
        <v>1</v>
      </c>
      <c r="D36" s="9"/>
      <c r="E36" s="8"/>
    </row>
    <row r="37" spans="1:6" ht="17" thickBot="1">
      <c r="B37" s="13" t="s">
        <v>114</v>
      </c>
      <c r="C37" s="45">
        <v>23</v>
      </c>
      <c r="D37" s="9"/>
      <c r="E37" s="8"/>
    </row>
    <row r="38" spans="1:6" ht="17" thickBot="1">
      <c r="B38" s="11" t="str">
        <f ca="1">_xlfn.FORMULATEXT(C38)</f>
        <v>=TIME(C35,C36,C37)</v>
      </c>
      <c r="C38" s="46">
        <f>TIME(C35,C36,C37)</f>
        <v>0.12596064814814814</v>
      </c>
      <c r="D38" s="9"/>
      <c r="E38" s="8"/>
    </row>
    <row r="39" spans="1:6">
      <c r="D39" s="9"/>
      <c r="E39" s="8"/>
    </row>
    <row r="40" spans="1:6">
      <c r="D40" s="9"/>
      <c r="E40" s="8"/>
    </row>
    <row r="42" spans="1:6">
      <c r="A42" t="s">
        <v>27</v>
      </c>
    </row>
    <row r="43" spans="1:6">
      <c r="A43" s="56" t="s">
        <v>13</v>
      </c>
      <c r="B43" s="56"/>
      <c r="C43" s="56"/>
      <c r="D43" s="56"/>
      <c r="E43" s="56"/>
      <c r="F43" s="56"/>
    </row>
    <row r="44" spans="1:6" ht="17" thickBot="1">
      <c r="D44" s="9"/>
    </row>
    <row r="45" spans="1:6" ht="17" thickBot="1">
      <c r="B45" s="11" t="str">
        <f t="shared" ref="B45:B56" ca="1" si="0">IFERROR(_xlfn.FORMULATEXT(C45),"")</f>
        <v/>
      </c>
      <c r="C45" s="14"/>
      <c r="D45" s="9" t="s">
        <v>106</v>
      </c>
    </row>
    <row r="46" spans="1:6" ht="17" thickBot="1">
      <c r="B46" s="11" t="str">
        <f t="shared" ca="1" si="0"/>
        <v/>
      </c>
      <c r="C46" s="14"/>
      <c r="D46" s="9" t="s">
        <v>150</v>
      </c>
    </row>
    <row r="47" spans="1:6" ht="17" thickBot="1">
      <c r="B47" s="11" t="str">
        <f t="shared" ca="1" si="0"/>
        <v/>
      </c>
      <c r="C47" s="16"/>
      <c r="D47" s="9" t="s">
        <v>107</v>
      </c>
    </row>
    <row r="48" spans="1:6" ht="17" thickBot="1">
      <c r="B48" s="11" t="str">
        <f t="shared" ca="1" si="0"/>
        <v/>
      </c>
      <c r="C48" s="16"/>
      <c r="D48" s="9" t="s">
        <v>108</v>
      </c>
      <c r="E48" s="8"/>
    </row>
    <row r="49" spans="1:5" ht="17" thickBot="1">
      <c r="A49" s="53"/>
      <c r="B49" s="11" t="str">
        <f t="shared" ca="1" si="0"/>
        <v/>
      </c>
      <c r="C49" s="12"/>
      <c r="D49" s="9" t="s">
        <v>109</v>
      </c>
    </row>
    <row r="50" spans="1:5" ht="17" thickBot="1">
      <c r="B50" s="11" t="str">
        <f t="shared" ca="1" si="0"/>
        <v/>
      </c>
      <c r="C50" s="54"/>
      <c r="D50" s="9" t="s">
        <v>116</v>
      </c>
    </row>
    <row r="51" spans="1:5" ht="17" thickBot="1">
      <c r="B51" s="11" t="str">
        <f t="shared" ca="1" si="0"/>
        <v/>
      </c>
      <c r="C51" s="55"/>
      <c r="D51" s="9" t="s">
        <v>117</v>
      </c>
    </row>
    <row r="52" spans="1:5" ht="17" thickBot="1">
      <c r="B52" s="11" t="str">
        <f t="shared" ca="1" si="0"/>
        <v/>
      </c>
      <c r="C52" s="12"/>
      <c r="D52" s="9" t="s">
        <v>118</v>
      </c>
    </row>
    <row r="53" spans="1:5" ht="17" thickBot="1">
      <c r="B53" s="11" t="str">
        <f t="shared" ca="1" si="0"/>
        <v/>
      </c>
      <c r="C53" s="12"/>
      <c r="D53" s="9" t="s">
        <v>119</v>
      </c>
    </row>
    <row r="54" spans="1:5" ht="17" thickBot="1">
      <c r="B54" s="11" t="str">
        <f t="shared" ca="1" si="0"/>
        <v/>
      </c>
      <c r="C54" s="12"/>
      <c r="D54" s="9" t="s">
        <v>120</v>
      </c>
    </row>
    <row r="55" spans="1:5" ht="17" thickBot="1">
      <c r="B55" s="11" t="str">
        <f t="shared" ca="1" si="0"/>
        <v/>
      </c>
      <c r="C55" s="12"/>
      <c r="D55" s="9" t="s">
        <v>121</v>
      </c>
      <c r="E55" s="8"/>
    </row>
    <row r="56" spans="1:5" ht="17" thickBot="1">
      <c r="B56" s="11" t="str">
        <f t="shared" ca="1" si="0"/>
        <v/>
      </c>
      <c r="C56" s="12"/>
      <c r="D56" s="9" t="s">
        <v>122</v>
      </c>
    </row>
    <row r="57" spans="1:5">
      <c r="D57" s="9"/>
    </row>
    <row r="58" spans="1:5">
      <c r="D58" s="9"/>
      <c r="E58" s="8"/>
    </row>
    <row r="59" spans="1:5">
      <c r="D59" s="9"/>
      <c r="E59" s="8"/>
    </row>
    <row r="63" spans="1:5">
      <c r="A63" s="19"/>
      <c r="B63" s="20"/>
      <c r="C63" s="20"/>
      <c r="E63" s="20"/>
    </row>
    <row r="64" spans="1:5">
      <c r="A64" s="19"/>
      <c r="B64" s="21"/>
      <c r="C64" s="20"/>
      <c r="E64" s="20"/>
    </row>
    <row r="65" spans="1:5">
      <c r="A65" s="19"/>
      <c r="B65" s="21"/>
      <c r="C65" s="20"/>
      <c r="E65" s="20"/>
    </row>
    <row r="66" spans="1:5">
      <c r="A66" s="19"/>
      <c r="B66" s="20"/>
      <c r="C66" s="20"/>
      <c r="E66" s="20"/>
    </row>
    <row r="67" spans="1:5">
      <c r="A67" s="19"/>
      <c r="B67" s="20"/>
      <c r="C67" s="20"/>
      <c r="E67" s="20"/>
    </row>
    <row r="68" spans="1:5">
      <c r="A68" s="19"/>
      <c r="B68" s="20"/>
      <c r="C68" s="20"/>
      <c r="E68" s="20"/>
    </row>
    <row r="69" spans="1:5">
      <c r="A69" s="19"/>
      <c r="B69" s="20"/>
      <c r="C69" s="20"/>
      <c r="E69" s="20"/>
    </row>
    <row r="70" spans="1:5">
      <c r="A70" s="19"/>
      <c r="B70" s="20"/>
      <c r="C70" s="20"/>
      <c r="E70" s="20"/>
    </row>
    <row r="71" spans="1:5">
      <c r="A71" s="19"/>
      <c r="B71" s="20"/>
      <c r="C71" s="20"/>
      <c r="E71" s="20"/>
    </row>
    <row r="72" spans="1:5">
      <c r="A72" s="19"/>
      <c r="B72" s="20"/>
      <c r="C72" s="20"/>
      <c r="E72" s="20"/>
    </row>
    <row r="73" spans="1:5">
      <c r="A73" s="19"/>
      <c r="B73" s="20"/>
      <c r="C73" s="20"/>
      <c r="E73" s="20"/>
    </row>
    <row r="74" spans="1:5">
      <c r="A74" s="19"/>
      <c r="B74" s="20"/>
      <c r="C74" s="20"/>
      <c r="E74" s="20"/>
    </row>
    <row r="75" spans="1:5">
      <c r="A75" s="19"/>
      <c r="B75" s="20"/>
      <c r="C75" s="20"/>
      <c r="E75" s="20"/>
    </row>
    <row r="76" spans="1:5">
      <c r="A76" s="19"/>
      <c r="B76" s="20"/>
      <c r="C76" s="20"/>
      <c r="E76" s="20"/>
    </row>
    <row r="77" spans="1:5">
      <c r="A77" s="19"/>
      <c r="B77" s="20"/>
      <c r="C77" s="20"/>
      <c r="E77" s="20"/>
    </row>
    <row r="78" spans="1:5">
      <c r="A78" s="19"/>
      <c r="B78" s="20"/>
      <c r="C78" s="20"/>
      <c r="E78" s="20"/>
    </row>
    <row r="79" spans="1:5">
      <c r="A79" s="19"/>
      <c r="B79" s="20"/>
      <c r="C79" s="20"/>
      <c r="E79" s="20"/>
    </row>
    <row r="80" spans="1:5">
      <c r="A80" s="19"/>
      <c r="B80" s="20"/>
      <c r="C80" s="20"/>
      <c r="E80" s="20"/>
    </row>
    <row r="81" spans="1:5">
      <c r="A81" s="19"/>
      <c r="B81" s="20"/>
      <c r="C81" s="20"/>
      <c r="E81" s="20"/>
    </row>
    <row r="82" spans="1:5">
      <c r="A82" s="19"/>
      <c r="B82" s="20"/>
      <c r="C82" s="20"/>
      <c r="E82" s="20"/>
    </row>
    <row r="83" spans="1:5">
      <c r="A83" s="19"/>
      <c r="B83" s="20"/>
      <c r="C83" s="20"/>
      <c r="E83" s="20"/>
    </row>
    <row r="84" spans="1:5">
      <c r="C84" s="18"/>
    </row>
    <row r="85" spans="1:5">
      <c r="C85" s="18"/>
    </row>
    <row r="86" spans="1:5">
      <c r="C86" s="18"/>
    </row>
    <row r="87" spans="1:5">
      <c r="C87" s="18"/>
    </row>
    <row r="88" spans="1:5">
      <c r="C88" s="18"/>
    </row>
    <row r="89" spans="1:5">
      <c r="C89" s="18"/>
    </row>
    <row r="90" spans="1:5">
      <c r="C90" s="18"/>
    </row>
    <row r="91" spans="1:5">
      <c r="C91" s="18"/>
    </row>
    <row r="92" spans="1:5">
      <c r="C92" s="18"/>
    </row>
    <row r="93" spans="1:5">
      <c r="C93" s="18"/>
    </row>
    <row r="94" spans="1:5">
      <c r="C94" s="18"/>
    </row>
    <row r="95" spans="1:5">
      <c r="C95" s="18"/>
    </row>
    <row r="96" spans="1:5">
      <c r="C96" s="18"/>
    </row>
    <row r="97" spans="3:3">
      <c r="C97" s="18"/>
    </row>
    <row r="98" spans="3:3">
      <c r="C98" s="18"/>
    </row>
    <row r="99" spans="3:3">
      <c r="C99" s="18"/>
    </row>
    <row r="100" spans="3:3">
      <c r="C100" s="18"/>
    </row>
    <row r="101" spans="3:3">
      <c r="C101" s="18"/>
    </row>
    <row r="102" spans="3:3">
      <c r="C102" s="18"/>
    </row>
    <row r="131" spans="10:14">
      <c r="J131" s="19"/>
      <c r="K131" s="20"/>
      <c r="L131" s="20"/>
      <c r="N131" s="20"/>
    </row>
    <row r="132" spans="10:14">
      <c r="J132" s="19"/>
      <c r="K132" s="20"/>
      <c r="L132" s="20"/>
      <c r="N132" s="20"/>
    </row>
  </sheetData>
  <mergeCells count="1">
    <mergeCell ref="A43:F4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Concept List</vt:lpstr>
      <vt:lpstr>String Functions</vt:lpstr>
      <vt:lpstr>Summary Functions</vt:lpstr>
      <vt:lpstr>Date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Garrett</dc:creator>
  <cp:lastModifiedBy>Nathan Garrett</cp:lastModifiedBy>
  <dcterms:created xsi:type="dcterms:W3CDTF">2016-08-05T23:09:20Z</dcterms:created>
  <dcterms:modified xsi:type="dcterms:W3CDTF">2026-08-25T17:02:27Z</dcterms:modified>
</cp:coreProperties>
</file>