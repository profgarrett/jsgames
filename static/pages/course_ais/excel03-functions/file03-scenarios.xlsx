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dg00008/Documents/profgarrett/jsgames/static/pages/course_ais/excel03-functions/"/>
    </mc:Choice>
  </mc:AlternateContent>
  <xr:revisionPtr revIDLastSave="0" documentId="13_ncr:1_{493CED45-2E0B-834F-826D-1FE76174989A}" xr6:coauthVersionLast="47" xr6:coauthVersionMax="47" xr10:uidLastSave="{00000000-0000-0000-0000-000000000000}"/>
  <bookViews>
    <workbookView xWindow="51920" yWindow="-7240" windowWidth="38240" windowHeight="20840" xr2:uid="{00000000-000D-0000-FFFF-FFFF00000000}"/>
  </bookViews>
  <sheets>
    <sheet name="1 Retail Orders" sheetId="1" r:id="rId1"/>
    <sheet name="1 Retail Solution" sheetId="2" r:id="rId2"/>
    <sheet name="2 Project Schedule" sheetId="3" r:id="rId3"/>
    <sheet name="2 Project Solution" sheetId="4" r:id="rId4"/>
    <sheet name="3 AP Invoices" sheetId="5" r:id="rId5"/>
    <sheet name="3 AP Soluti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6" l="1"/>
  <c r="B30" i="6"/>
  <c r="B29" i="6"/>
  <c r="B28" i="6"/>
  <c r="B27" i="6"/>
  <c r="B26" i="6"/>
  <c r="U21" i="6"/>
  <c r="T21" i="6"/>
  <c r="S21" i="6"/>
  <c r="R21" i="6"/>
  <c r="Q21" i="6"/>
  <c r="P21" i="6"/>
  <c r="O21" i="6"/>
  <c r="N21" i="6"/>
  <c r="M21" i="6"/>
  <c r="L21" i="6"/>
  <c r="K21" i="6"/>
  <c r="J21" i="6"/>
  <c r="I21" i="6"/>
  <c r="H21" i="6"/>
  <c r="U20" i="6"/>
  <c r="T20" i="6"/>
  <c r="S20" i="6"/>
  <c r="R20" i="6"/>
  <c r="Q20" i="6"/>
  <c r="P20" i="6"/>
  <c r="O20" i="6"/>
  <c r="N20" i="6"/>
  <c r="M20" i="6"/>
  <c r="L20" i="6"/>
  <c r="K20" i="6"/>
  <c r="J20" i="6"/>
  <c r="I20" i="6"/>
  <c r="H20" i="6"/>
  <c r="U19" i="6"/>
  <c r="T19" i="6"/>
  <c r="S19" i="6"/>
  <c r="R19" i="6"/>
  <c r="Q19" i="6"/>
  <c r="P19" i="6"/>
  <c r="O19" i="6"/>
  <c r="N19" i="6"/>
  <c r="M19" i="6"/>
  <c r="L19" i="6"/>
  <c r="K19" i="6"/>
  <c r="J19" i="6"/>
  <c r="I19" i="6"/>
  <c r="H19" i="6"/>
  <c r="U18" i="6"/>
  <c r="T18" i="6"/>
  <c r="S18" i="6"/>
  <c r="R18" i="6"/>
  <c r="Q18" i="6"/>
  <c r="P18" i="6"/>
  <c r="O18" i="6"/>
  <c r="N18" i="6"/>
  <c r="M18" i="6"/>
  <c r="L18" i="6"/>
  <c r="K18" i="6"/>
  <c r="J18" i="6"/>
  <c r="I18" i="6"/>
  <c r="H18" i="6"/>
  <c r="U17" i="6"/>
  <c r="T17" i="6"/>
  <c r="S17" i="6"/>
  <c r="R17" i="6"/>
  <c r="Q17" i="6"/>
  <c r="P17" i="6"/>
  <c r="O17" i="6"/>
  <c r="N17" i="6"/>
  <c r="M17" i="6"/>
  <c r="L17" i="6"/>
  <c r="K17" i="6"/>
  <c r="J17" i="6"/>
  <c r="I17" i="6"/>
  <c r="H17" i="6"/>
  <c r="U16" i="6"/>
  <c r="T16" i="6"/>
  <c r="S16" i="6"/>
  <c r="R16" i="6"/>
  <c r="Q16" i="6"/>
  <c r="P16" i="6"/>
  <c r="O16" i="6"/>
  <c r="N16" i="6"/>
  <c r="M16" i="6"/>
  <c r="L16" i="6"/>
  <c r="K16" i="6"/>
  <c r="J16" i="6"/>
  <c r="I16" i="6"/>
  <c r="H16" i="6"/>
  <c r="U15" i="6"/>
  <c r="T15" i="6"/>
  <c r="S15" i="6"/>
  <c r="R15" i="6"/>
  <c r="Q15" i="6"/>
  <c r="P15" i="6"/>
  <c r="O15" i="6"/>
  <c r="N15" i="6"/>
  <c r="M15" i="6"/>
  <c r="L15" i="6"/>
  <c r="K15" i="6"/>
  <c r="J15" i="6"/>
  <c r="I15" i="6"/>
  <c r="H15" i="6"/>
  <c r="U14" i="6"/>
  <c r="T14" i="6"/>
  <c r="S14" i="6"/>
  <c r="R14" i="6"/>
  <c r="Q14" i="6"/>
  <c r="P14" i="6"/>
  <c r="O14" i="6"/>
  <c r="N14" i="6"/>
  <c r="M14" i="6"/>
  <c r="L14" i="6"/>
  <c r="K14" i="6"/>
  <c r="J14" i="6"/>
  <c r="I14" i="6"/>
  <c r="H14" i="6"/>
  <c r="U13" i="6"/>
  <c r="T13" i="6"/>
  <c r="S13" i="6"/>
  <c r="R13" i="6"/>
  <c r="Q13" i="6"/>
  <c r="P13" i="6"/>
  <c r="O13" i="6"/>
  <c r="N13" i="6"/>
  <c r="M13" i="6"/>
  <c r="L13" i="6"/>
  <c r="K13" i="6"/>
  <c r="J13" i="6"/>
  <c r="I13" i="6"/>
  <c r="H13" i="6"/>
  <c r="U12" i="6"/>
  <c r="T12" i="6"/>
  <c r="S12" i="6"/>
  <c r="R12" i="6"/>
  <c r="Q12" i="6"/>
  <c r="P12" i="6"/>
  <c r="O12" i="6"/>
  <c r="N12" i="6"/>
  <c r="M12" i="6"/>
  <c r="L12" i="6"/>
  <c r="K12" i="6"/>
  <c r="J12" i="6"/>
  <c r="I12" i="6"/>
  <c r="H12" i="6"/>
  <c r="B29" i="4"/>
  <c r="B28" i="4"/>
  <c r="B27" i="4"/>
  <c r="B26" i="4"/>
  <c r="B25" i="4"/>
  <c r="O20" i="4"/>
  <c r="N20" i="4"/>
  <c r="M20" i="4"/>
  <c r="L20" i="4"/>
  <c r="K20" i="4"/>
  <c r="J20" i="4"/>
  <c r="I20" i="4"/>
  <c r="H20" i="4"/>
  <c r="O19" i="4"/>
  <c r="N19" i="4"/>
  <c r="M19" i="4"/>
  <c r="L19" i="4"/>
  <c r="K19" i="4"/>
  <c r="J19" i="4"/>
  <c r="I19" i="4"/>
  <c r="H19" i="4"/>
  <c r="O18" i="4"/>
  <c r="N18" i="4"/>
  <c r="M18" i="4"/>
  <c r="L18" i="4"/>
  <c r="K18" i="4"/>
  <c r="J18" i="4"/>
  <c r="I18" i="4"/>
  <c r="H18" i="4"/>
  <c r="O17" i="4"/>
  <c r="N17" i="4"/>
  <c r="M17" i="4"/>
  <c r="L17" i="4"/>
  <c r="K17" i="4"/>
  <c r="J17" i="4"/>
  <c r="I17" i="4"/>
  <c r="H17" i="4"/>
  <c r="O16" i="4"/>
  <c r="N16" i="4"/>
  <c r="M16" i="4"/>
  <c r="L16" i="4"/>
  <c r="K16" i="4"/>
  <c r="J16" i="4"/>
  <c r="I16" i="4"/>
  <c r="H16" i="4"/>
  <c r="O15" i="4"/>
  <c r="N15" i="4"/>
  <c r="M15" i="4"/>
  <c r="L15" i="4"/>
  <c r="K15" i="4"/>
  <c r="J15" i="4"/>
  <c r="I15" i="4"/>
  <c r="H15" i="4"/>
  <c r="O14" i="4"/>
  <c r="N14" i="4"/>
  <c r="M14" i="4"/>
  <c r="L14" i="4"/>
  <c r="K14" i="4"/>
  <c r="J14" i="4"/>
  <c r="I14" i="4"/>
  <c r="H14" i="4"/>
  <c r="O13" i="4"/>
  <c r="N13" i="4"/>
  <c r="M13" i="4"/>
  <c r="L13" i="4"/>
  <c r="K13" i="4"/>
  <c r="J13" i="4"/>
  <c r="I13" i="4"/>
  <c r="H13" i="4"/>
  <c r="F10" i="4"/>
  <c r="D10" i="4"/>
  <c r="B10" i="4"/>
  <c r="B28" i="2"/>
  <c r="R21" i="2"/>
  <c r="Q21" i="2"/>
  <c r="P21" i="2"/>
  <c r="O21" i="2"/>
  <c r="N21" i="2"/>
  <c r="M21" i="2"/>
  <c r="L21" i="2"/>
  <c r="K21" i="2"/>
  <c r="J21" i="2"/>
  <c r="I21" i="2"/>
  <c r="H21" i="2"/>
  <c r="R20" i="2"/>
  <c r="Q20" i="2"/>
  <c r="P20" i="2"/>
  <c r="O20" i="2"/>
  <c r="N20" i="2"/>
  <c r="M20" i="2"/>
  <c r="L20" i="2"/>
  <c r="K20" i="2"/>
  <c r="J20" i="2"/>
  <c r="I20" i="2"/>
  <c r="H20" i="2"/>
  <c r="R19" i="2"/>
  <c r="Q19" i="2"/>
  <c r="P19" i="2"/>
  <c r="O19" i="2"/>
  <c r="N19" i="2"/>
  <c r="M19" i="2"/>
  <c r="L19" i="2"/>
  <c r="K19" i="2"/>
  <c r="J19" i="2"/>
  <c r="I19" i="2"/>
  <c r="H19" i="2"/>
  <c r="R18" i="2"/>
  <c r="Q18" i="2"/>
  <c r="P18" i="2"/>
  <c r="O18" i="2"/>
  <c r="N18" i="2"/>
  <c r="M18" i="2"/>
  <c r="L18" i="2"/>
  <c r="K18" i="2"/>
  <c r="J18" i="2"/>
  <c r="I18" i="2"/>
  <c r="H18" i="2"/>
  <c r="R17" i="2"/>
  <c r="Q17" i="2"/>
  <c r="P17" i="2"/>
  <c r="O17" i="2"/>
  <c r="N17" i="2"/>
  <c r="M17" i="2"/>
  <c r="L17" i="2"/>
  <c r="K17" i="2"/>
  <c r="J17" i="2"/>
  <c r="I17" i="2"/>
  <c r="H17" i="2"/>
  <c r="R16" i="2"/>
  <c r="Q16" i="2"/>
  <c r="P16" i="2"/>
  <c r="O16" i="2"/>
  <c r="N16" i="2"/>
  <c r="M16" i="2"/>
  <c r="L16" i="2"/>
  <c r="K16" i="2"/>
  <c r="J16" i="2"/>
  <c r="I16" i="2"/>
  <c r="H16" i="2"/>
  <c r="R15" i="2"/>
  <c r="Q15" i="2"/>
  <c r="P15" i="2"/>
  <c r="O15" i="2"/>
  <c r="N15" i="2"/>
  <c r="M15" i="2"/>
  <c r="L15" i="2"/>
  <c r="K15" i="2"/>
  <c r="J15" i="2"/>
  <c r="I15" i="2"/>
  <c r="H15" i="2"/>
  <c r="R14" i="2"/>
  <c r="Q14" i="2"/>
  <c r="P14" i="2"/>
  <c r="O14" i="2"/>
  <c r="N14" i="2"/>
  <c r="M14" i="2"/>
  <c r="L14" i="2"/>
  <c r="K14" i="2"/>
  <c r="J14" i="2"/>
  <c r="I14" i="2"/>
  <c r="H14" i="2"/>
  <c r="R13" i="2"/>
  <c r="Q13" i="2"/>
  <c r="P13" i="2"/>
  <c r="O13" i="2"/>
  <c r="N13" i="2"/>
  <c r="M13" i="2"/>
  <c r="L13" i="2"/>
  <c r="K13" i="2"/>
  <c r="J13" i="2"/>
  <c r="I13" i="2"/>
  <c r="H13" i="2"/>
  <c r="R12" i="2"/>
  <c r="Q12" i="2"/>
  <c r="P12" i="2"/>
  <c r="O12" i="2"/>
  <c r="N12" i="2"/>
  <c r="M12" i="2"/>
  <c r="L12" i="2"/>
  <c r="K12" i="2"/>
  <c r="J12" i="2"/>
  <c r="I12" i="2"/>
  <c r="H12" i="2"/>
  <c r="B27" i="2" l="1"/>
  <c r="B26" i="2"/>
  <c r="B31" i="2"/>
  <c r="B30" i="2"/>
  <c r="B29" i="2"/>
</calcChain>
</file>

<file path=xl/sharedStrings.xml><?xml version="1.0" encoding="utf-8"?>
<sst xmlns="http://schemas.openxmlformats.org/spreadsheetml/2006/main" count="476" uniqueCount="234">
  <si>
    <t>Scenario 1: Retail Order Processing</t>
  </si>
  <si>
    <t>Blue Ridge Outfitters exported web orders from a legacy ordering system. Management needs the data cleaned and summarized before it is loaded into a sales dashboard. Standardize customer and product information, parse codes, build useful labels, calculate net sales, and prepare summary measures.</t>
  </si>
  <si>
    <t>Relevant functions</t>
  </si>
  <si>
    <t>LEN, LEFT, RIGHT, UPPER, LOWER, CONCAT, FIND, REPLACE, SUBSTITUTE, MID, SUM, COUNT, COUNTA, AVERAGE, MIN, MAX</t>
  </si>
  <si>
    <t>Enter formulas in the white calculation cells. Copy formulas down when appropriate. Use cell references rather than typing values directly into formulas.</t>
  </si>
  <si>
    <t>Order ID</t>
  </si>
  <si>
    <t>Customer Name</t>
  </si>
  <si>
    <t>Email</t>
  </si>
  <si>
    <t>Product Code</t>
  </si>
  <si>
    <t>Units</t>
  </si>
  <si>
    <t>Unit Price</t>
  </si>
  <si>
    <t>Discount %</t>
  </si>
  <si>
    <t>Net Sales</t>
  </si>
  <si>
    <t>Region</t>
  </si>
  <si>
    <t>Order #</t>
  </si>
  <si>
    <t>Name UPPER</t>
  </si>
  <si>
    <t>Email lower</t>
  </si>
  <si>
    <t>Name Length</t>
  </si>
  <si>
    <t>First "_" Position</t>
  </si>
  <si>
    <t>Product #</t>
  </si>
  <si>
    <t>Clean Product Code</t>
  </si>
  <si>
    <t>Revised Prefix</t>
  </si>
  <si>
    <t>Order Label</t>
  </si>
  <si>
    <t>NE-TRK-10482</t>
  </si>
  <si>
    <t>mARIA pATEL</t>
  </si>
  <si>
    <t>MARIA.PATEL@EXAMPLE.COM</t>
  </si>
  <si>
    <t>BK_27_NorthEast</t>
  </si>
  <si>
    <t>SE-CMP-10503</t>
  </si>
  <si>
    <t>Daniel Reed</t>
  </si>
  <si>
    <t>DREED@OUTLOOK.COM</t>
  </si>
  <si>
    <t>TN_14_SouthEast</t>
  </si>
  <si>
    <t>MW-HIK-10527</t>
  </si>
  <si>
    <t>alicia GOMEZ</t>
  </si>
  <si>
    <t>ALICIA.G@EXAMPLE.COM</t>
  </si>
  <si>
    <t>BP_33_MidWest</t>
  </si>
  <si>
    <t>NE-SKI-10544</t>
  </si>
  <si>
    <t>ROBERT CHEN</t>
  </si>
  <si>
    <t>RCHEN@MAIL.COM</t>
  </si>
  <si>
    <t>GL_18_NorthEast</t>
  </si>
  <si>
    <t>SW-CAM-10568</t>
  </si>
  <si>
    <t>Jamie Lee</t>
  </si>
  <si>
    <t>JAMIE.LEE@EXAMPLE.COM</t>
  </si>
  <si>
    <t>ST_42_SouthWest</t>
  </si>
  <si>
    <t>SE-HYD-10589</t>
  </si>
  <si>
    <t>Priya SHAH</t>
  </si>
  <si>
    <t>PRIYA.SHAH@MAIL.COM</t>
  </si>
  <si>
    <t>BT_21_SouthEast</t>
  </si>
  <si>
    <t>MW-CLM-10610</t>
  </si>
  <si>
    <t>kevin brown</t>
  </si>
  <si>
    <t>KBROWN@EXAMPLE.COM</t>
  </si>
  <si>
    <t>RB_36_MidWest</t>
  </si>
  <si>
    <t>NE-RUN-10638</t>
  </si>
  <si>
    <t>Sarah O'Neil</t>
  </si>
  <si>
    <t>SONEIL@MAIL.COM</t>
  </si>
  <si>
    <t>SH_12_NorthEast</t>
  </si>
  <si>
    <t>SW-BIK-10657</t>
  </si>
  <si>
    <t>MARCUS KING</t>
  </si>
  <si>
    <t>MKING@EXAMPLE.COM</t>
  </si>
  <si>
    <t>HL_25_SouthWest</t>
  </si>
  <si>
    <t>SE-TRV-10681</t>
  </si>
  <si>
    <t>emily Davis</t>
  </si>
  <si>
    <t>EMILY.D@MAIL.COM</t>
  </si>
  <si>
    <t>BG_31_SouthEast</t>
  </si>
  <si>
    <t>Units × price × (1 − discount)</t>
  </si>
  <si>
    <t>First 2 characters</t>
  </si>
  <si>
    <t>Last 5 characters</t>
  </si>
  <si>
    <t>Standardize name</t>
  </si>
  <si>
    <t>Standardize email</t>
  </si>
  <si>
    <t>Count all characters</t>
  </si>
  <si>
    <t>Locate first underscore</t>
  </si>
  <si>
    <t>Characters 4–5</t>
  </si>
  <si>
    <t>Replace _ with -</t>
  </si>
  <si>
    <t>Replace first 2 chars with "OUT"</t>
  </si>
  <si>
    <t>Combine region, order #, and name</t>
  </si>
  <si>
    <t>Management summary</t>
  </si>
  <si>
    <t>Total net sales</t>
  </si>
  <si>
    <t>Use SUM on the Net Sales column.</t>
  </si>
  <si>
    <t>Numeric sales records</t>
  </si>
  <si>
    <t>Use COUNT on the Net Sales column.</t>
  </si>
  <si>
    <t>Customers with names</t>
  </si>
  <si>
    <t>Use COUNTA on Customer Name.</t>
  </si>
  <si>
    <t>Average order value</t>
  </si>
  <si>
    <t>Use AVERAGE on Net Sales.</t>
  </si>
  <si>
    <t>Smallest order value</t>
  </si>
  <si>
    <t>Use MIN on Net Sales.</t>
  </si>
  <si>
    <t>Largest order value</t>
  </si>
  <si>
    <t>Use MAX on Net Sales.</t>
  </si>
  <si>
    <t>Scenario 1: Retail Order Processing | SOLUTION</t>
  </si>
  <si>
    <t>Solution sheet. Green calculation cells contain the formulas that students should construct.</t>
  </si>
  <si>
    <t>Scenario 2: Consulting Project Scheduling</t>
  </si>
  <si>
    <t>Summit Advisory Group manages several client projects at the same time. The engagement manager needs a scheduling and workload worksheet that identifies project duration, extracts date and time components, creates billing dates, and summarizes hours logged across the portfolio.</t>
  </si>
  <si>
    <t>TODAY, NOW, DATE, DAY, MONTH, YEAR, NETWORKDAYS, TIME, HOUR, MINUTE, SECOND, SUM, COUNT, AVERAGE, MIN, MAX</t>
  </si>
  <si>
    <t>Today</t>
  </si>
  <si>
    <t>Current Date/Time</t>
  </si>
  <si>
    <t>Standard Start Time</t>
  </si>
  <si>
    <t>Project ID</t>
  </si>
  <si>
    <t>Client</t>
  </si>
  <si>
    <t>Start Date</t>
  </si>
  <si>
    <t>End Date</t>
  </si>
  <si>
    <t>Check-in Time</t>
  </si>
  <si>
    <t>Check-out Time</t>
  </si>
  <si>
    <t>Hours Logged</t>
  </si>
  <si>
    <t>Workdays</t>
  </si>
  <si>
    <t>Start Month</t>
  </si>
  <si>
    <t>Start Year</t>
  </si>
  <si>
    <t>End Day</t>
  </si>
  <si>
    <t>Check-in Hour</t>
  </si>
  <si>
    <t>Check-in Minute</t>
  </si>
  <si>
    <t>Check-out Second</t>
  </si>
  <si>
    <t>Billing Date</t>
  </si>
  <si>
    <t>P-2401</t>
  </si>
  <si>
    <t>Allegheny Foods</t>
  </si>
  <si>
    <t>P-2402</t>
  </si>
  <si>
    <t>Mon Valley Health</t>
  </si>
  <si>
    <t>P-2403</t>
  </si>
  <si>
    <t>Kanawha Logistics</t>
  </si>
  <si>
    <t>P-2404</t>
  </si>
  <si>
    <t>Greenbrier Resorts</t>
  </si>
  <si>
    <t>P-2405</t>
  </si>
  <si>
    <t>Mountain Tech</t>
  </si>
  <si>
    <t>P-2406</t>
  </si>
  <si>
    <t>River Valley Bank</t>
  </si>
  <si>
    <t>P-2407</t>
  </si>
  <si>
    <t>Appalachian Energy</t>
  </si>
  <si>
    <t>P-2408</t>
  </si>
  <si>
    <t>Capital City Dental</t>
  </si>
  <si>
    <t>Business days from start to end</t>
  </si>
  <si>
    <t>Month number from Start Date</t>
  </si>
  <si>
    <t>Year from Start Date</t>
  </si>
  <si>
    <t>Day number from End Date</t>
  </si>
  <si>
    <t>Hour from Check-in</t>
  </si>
  <si>
    <t>Minute from Check-in</t>
  </si>
  <si>
    <t>Second from Check-out</t>
  </si>
  <si>
    <t>5th day of month after project ends</t>
  </si>
  <si>
    <t>Total hours logged</t>
  </si>
  <si>
    <t>Use SUM on Hours Logged.</t>
  </si>
  <si>
    <t>Projects with hours entered</t>
  </si>
  <si>
    <t>Use COUNT on Hours Logged.</t>
  </si>
  <si>
    <t>Average project hours</t>
  </si>
  <si>
    <t>Use AVERAGE on Hours Logged.</t>
  </si>
  <si>
    <t>Fewest project hours</t>
  </si>
  <si>
    <t>Use MIN on Hours Logged.</t>
  </si>
  <si>
    <t>Most project hours</t>
  </si>
  <si>
    <t>Use MAX on Hours Logged.</t>
  </si>
  <si>
    <t>Scenario 2: Consulting Project Scheduling | SOLUTION</t>
  </si>
  <si>
    <t>Scenario 3: Accounts Payable Invoice Review</t>
  </si>
  <si>
    <t>Mountaineer Manufacturing is reviewing an accounts payable export before month-end close. Invoice references contain embedded vendor, year, region, and invoice information. The AP team must parse and standardize the identifiers, evaluate payment windows, create reporting dates, and summarize invoice values.</t>
  </si>
  <si>
    <t>LEFT, RIGHT, MID, FIND, LEN, LOWER, CONCAT, REPLACE, SUBSTITUTE, DATE, DAY, MONTH, YEAR, NETWORKDAYS, SUM, COUNT, COUNTA, AVERAGE, MIN, MAX</t>
  </si>
  <si>
    <t>Invoice Ref</t>
  </si>
  <si>
    <t>Vendor Name</t>
  </si>
  <si>
    <t>Contact Email</t>
  </si>
  <si>
    <t>Invoice Date</t>
  </si>
  <si>
    <t>Due Date</t>
  </si>
  <si>
    <t>Amount</t>
  </si>
  <si>
    <t>PO Reference</t>
  </si>
  <si>
    <t>Vendor Code</t>
  </si>
  <si>
    <t>Invoice #</t>
  </si>
  <si>
    <t>Year Code</t>
  </si>
  <si>
    <t>First "|" Position</t>
  </si>
  <si>
    <t>Ref Length</t>
  </si>
  <si>
    <t>Clean PO</t>
  </si>
  <si>
    <t>Revised Region</t>
  </si>
  <si>
    <t>Days to Pay</t>
  </si>
  <si>
    <t>Due Day</t>
  </si>
  <si>
    <t>Invoice Month</t>
  </si>
  <si>
    <t>Invoice Year</t>
  </si>
  <si>
    <t>Invoice Label</t>
  </si>
  <si>
    <t>Month Start</t>
  </si>
  <si>
    <t>ACM|2026|WV|00481</t>
  </si>
  <si>
    <t>ACME INDUSTRIAL SUPPLY</t>
  </si>
  <si>
    <t>AP@ACME-IND.COM</t>
  </si>
  <si>
    <t>PO#WV-18442</t>
  </si>
  <si>
    <t>BRC|2026|OH|00492</t>
  </si>
  <si>
    <t>BRICKER COMPONENTS</t>
  </si>
  <si>
    <t>PAYABLES@BRICKER.COM</t>
  </si>
  <si>
    <t>PO#OH-18501</t>
  </si>
  <si>
    <t>CRV|2026|PA|00503</t>
  </si>
  <si>
    <t>CARVER MACHINE WORKS</t>
  </si>
  <si>
    <t>AP@CARVERMW.COM</t>
  </si>
  <si>
    <t>PO#PA-18537</t>
  </si>
  <si>
    <t>DLM|2026|WV|00517</t>
  </si>
  <si>
    <t>DELTA MATERIALS</t>
  </si>
  <si>
    <t>ACCOUNTING@DELTAMAT.COM</t>
  </si>
  <si>
    <t>PO#WV-18612</t>
  </si>
  <si>
    <t>EAS|2026|KY|00529</t>
  </si>
  <si>
    <t>EASTERN SAFETY</t>
  </si>
  <si>
    <t>AP@EASTERNSAFETY.COM</t>
  </si>
  <si>
    <t>PO#KY-18688</t>
  </si>
  <si>
    <t>FRG|2026|WV|00541</t>
  </si>
  <si>
    <t>FORGE INDUSTRIAL</t>
  </si>
  <si>
    <t>PAYABLES@FORGEIND.COM</t>
  </si>
  <si>
    <t>PO#WV-18731</t>
  </si>
  <si>
    <t>GRT|2026|OH|00556</t>
  </si>
  <si>
    <t>GRAFTON TOOLING</t>
  </si>
  <si>
    <t>AP@GRAFTONTOOL.COM</t>
  </si>
  <si>
    <t>PO#OH-18805</t>
  </si>
  <si>
    <t>HIL|2026|PA|00569</t>
  </si>
  <si>
    <t>HIGHLAND ELECTRIC</t>
  </si>
  <si>
    <t>ACCOUNTING@HIGHLANDELEC.COM</t>
  </si>
  <si>
    <t>PO#PA-18844</t>
  </si>
  <si>
    <t>IVY|2026|WV|00583</t>
  </si>
  <si>
    <t>IVY OFFICE SYSTEMS</t>
  </si>
  <si>
    <t>AP@IVYOFFICE.COM</t>
  </si>
  <si>
    <t>PO#WV-18902</t>
  </si>
  <si>
    <t>JCT|2026|KY|00596</t>
  </si>
  <si>
    <t>JUNCTION FREIGHT</t>
  </si>
  <si>
    <t>BILLING@JCTFREIGHT.COM</t>
  </si>
  <si>
    <t>PO#KY-18977</t>
  </si>
  <si>
    <t>First 3 chars</t>
  </si>
  <si>
    <t>Last 5 chars</t>
  </si>
  <si>
    <t>Chars 5–8</t>
  </si>
  <si>
    <t>Locate first |</t>
  </si>
  <si>
    <t>Count characters</t>
  </si>
  <si>
    <t>Replace # with -</t>
  </si>
  <si>
    <t>Replace WV/OH/PA/KY region with "HQ"</t>
  </si>
  <si>
    <t>Business days invoice to due</t>
  </si>
  <si>
    <t>Day from Due Date</t>
  </si>
  <si>
    <t>Month from Invoice Date</t>
  </si>
  <si>
    <t>Year from Invoice Date</t>
  </si>
  <si>
    <t>Combine vendor and invoice #</t>
  </si>
  <si>
    <t>First day of invoice month</t>
  </si>
  <si>
    <t>Total invoice amount</t>
  </si>
  <si>
    <t>Use SUM on Amount.</t>
  </si>
  <si>
    <t>Numeric invoices</t>
  </si>
  <si>
    <t>Use COUNT on Amount.</t>
  </si>
  <si>
    <t>Vendor records</t>
  </si>
  <si>
    <t>Use COUNTA on Vendor Name.</t>
  </si>
  <si>
    <t>Average invoice</t>
  </si>
  <si>
    <t>Use AVERAGE on Amount.</t>
  </si>
  <si>
    <t>Smallest invoice</t>
  </si>
  <si>
    <t>Use MIN on Amount.</t>
  </si>
  <si>
    <t>Largest invoice</t>
  </si>
  <si>
    <t>Use MAX on Amount.</t>
  </si>
  <si>
    <t>Scenario 3: Accounts Payable Invoice Review |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</si>
</sst>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d/yyyy"/>
    <numFmt numFmtId="166" formatCode="m/d/yyyy\ h:mm\ AM/PM"/>
    <numFmt numFmtId="167" formatCode="0.0"/>
  </numFmts>
  <fonts count="8">
    <font>
      <sz val="11"/>
      <name val="Carlito"/>
    </font>
    <font>
      <b/>
      <sz val="18"/>
      <color rgb="FF1F1F1F"/>
      <name val="Carlito"/>
    </font>
    <font>
      <sz val="11"/>
      <color rgb="FF1F1F1F"/>
      <name val="Carlito"/>
    </font>
    <font>
      <b/>
      <sz val="11"/>
      <color rgb="FFFFFFFF"/>
      <name val="Carlito"/>
    </font>
    <font>
      <sz val="11"/>
      <color rgb="FF385723"/>
      <name val="Carlito"/>
    </font>
    <font>
      <sz val="11"/>
      <color rgb="FFBF8F00"/>
      <name val="Carlito"/>
    </font>
    <font>
      <b/>
      <sz val="11"/>
      <color rgb="FF385723"/>
      <name val="Carlito"/>
    </font>
    <font>
      <i/>
      <sz val="11"/>
      <color rgb="FF385723"/>
      <name val="Carlito"/>
    </font>
  </fonts>
  <fills count="6">
    <fill>
      <patternFill patternType="none"/>
    </fill>
    <fill>
      <patternFill patternType="gray125"/>
    </fill>
    <fill>
      <patternFill patternType="solid">
        <fgColor rgb="FF385723"/>
      </patternFill>
    </fill>
    <fill>
      <patternFill patternType="solid">
        <fgColor rgb="FFF3F8EF"/>
      </patternFill>
    </fill>
    <fill>
      <patternFill patternType="solid">
        <fgColor rgb="FFE2F0D9"/>
      </patternFill>
    </fill>
    <fill>
      <patternFill patternType="solid">
        <fgColor rgb="FFFFFFFF"/>
      </patternFill>
    </fill>
  </fills>
  <borders count="1">
    <border>
      <left/>
      <right/>
      <top/>
      <bottom/>
      <diagonal/>
    </border>
  </borders>
  <cellStyleXfs count="1">
    <xf numFmtId="0" fontId="0" fillId="0" borderId="0"/>
  </cellStyleXfs>
  <cellXfs count="28">
    <xf numFmtId="0" fontId="0" fillId="0" borderId="0" xfId="0"/>
    <xf numFmtId="0" fontId="6" fillId="4" borderId="0" xfId="0" applyFont="1"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9" fontId="0" fillId="0" borderId="0" xfId="0" applyNumberFormat="1" applyAlignment="1">
      <alignment vertical="center" wrapText="1"/>
    </xf>
    <xf numFmtId="165" fontId="0" fillId="0" borderId="0" xfId="0" applyNumberFormat="1" applyAlignment="1">
      <alignment vertical="center" wrapText="1"/>
    </xf>
    <xf numFmtId="19" fontId="0" fillId="0" borderId="0" xfId="0" applyNumberFormat="1" applyAlignment="1">
      <alignment vertical="center" wrapText="1"/>
    </xf>
    <xf numFmtId="0" fontId="0" fillId="0" borderId="0" xfId="0" applyAlignment="1">
      <alignment vertical="center"/>
    </xf>
    <xf numFmtId="0" fontId="5" fillId="0" borderId="0" xfId="0" applyFont="1" applyAlignment="1">
      <alignment vertical="center" wrapText="1"/>
    </xf>
    <xf numFmtId="164" fontId="4" fillId="5" borderId="0" xfId="0" applyNumberFormat="1" applyFont="1" applyFill="1" applyAlignment="1">
      <alignment vertical="center"/>
    </xf>
    <xf numFmtId="0" fontId="4" fillId="5" borderId="0" xfId="0" applyFont="1" applyFill="1" applyAlignment="1">
      <alignment vertical="center"/>
    </xf>
    <xf numFmtId="0" fontId="6" fillId="4" borderId="0" xfId="0" applyFont="1" applyFill="1" applyAlignment="1">
      <alignment vertical="center"/>
    </xf>
    <xf numFmtId="1" fontId="4" fillId="5" borderId="0" xfId="0" applyNumberFormat="1" applyFont="1" applyFill="1" applyAlignment="1">
      <alignment vertical="center"/>
    </xf>
    <xf numFmtId="164" fontId="6" fillId="4" borderId="0" xfId="0" applyNumberFormat="1" applyFont="1" applyFill="1" applyAlignment="1">
      <alignment vertical="center"/>
    </xf>
    <xf numFmtId="1" fontId="6" fillId="4" borderId="0" xfId="0" applyNumberFormat="1" applyFont="1" applyFill="1" applyAlignment="1">
      <alignment vertical="center"/>
    </xf>
    <xf numFmtId="165" fontId="4" fillId="5" borderId="0" xfId="0" applyNumberFormat="1" applyFont="1" applyFill="1" applyAlignment="1">
      <alignment vertical="center"/>
    </xf>
    <xf numFmtId="166" fontId="0" fillId="0" borderId="0" xfId="0" applyNumberFormat="1" applyAlignment="1">
      <alignment vertical="center"/>
    </xf>
    <xf numFmtId="18" fontId="0" fillId="0" borderId="0" xfId="0" applyNumberFormat="1" applyAlignment="1">
      <alignment vertical="center"/>
    </xf>
    <xf numFmtId="167" fontId="4" fillId="5" borderId="0" xfId="0" applyNumberFormat="1" applyFont="1" applyFill="1" applyAlignment="1">
      <alignment vertical="center"/>
    </xf>
    <xf numFmtId="165" fontId="6" fillId="4" borderId="0" xfId="0" applyNumberFormat="1" applyFont="1" applyFill="1" applyAlignment="1">
      <alignment vertical="center"/>
    </xf>
    <xf numFmtId="167" fontId="6" fillId="4" borderId="0" xfId="0" applyNumberFormat="1" applyFont="1" applyFill="1" applyAlignment="1">
      <alignment vertical="center"/>
    </xf>
    <xf numFmtId="0" fontId="1"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vertical="center"/>
    </xf>
    <xf numFmtId="0" fontId="4" fillId="3" borderId="0" xfId="0" applyFont="1" applyFill="1" applyAlignment="1">
      <alignment vertical="center" wrapText="1"/>
    </xf>
    <xf numFmtId="0" fontId="5" fillId="0" borderId="0" xfId="0" applyFont="1" applyAlignment="1">
      <alignmen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tabSelected="1" workbookViewId="0">
      <selection sqref="A1:R1"/>
    </sheetView>
  </sheetViews>
  <sheetFormatPr baseColWidth="10" defaultColWidth="8.83203125" defaultRowHeight="14"/>
  <cols>
    <col min="1" max="1" width="20.83203125" customWidth="1"/>
    <col min="2" max="2" width="20" customWidth="1"/>
    <col min="3" max="3" width="28" customWidth="1"/>
    <col min="4" max="4" width="20" customWidth="1"/>
    <col min="5" max="5" width="9" customWidth="1"/>
    <col min="6" max="6" width="12" customWidth="1"/>
    <col min="7" max="7" width="11" customWidth="1"/>
    <col min="8" max="8" width="13" customWidth="1"/>
    <col min="9" max="9" width="10" customWidth="1"/>
    <col min="10" max="10" width="11" customWidth="1"/>
    <col min="11" max="11" width="20" customWidth="1"/>
    <col min="12" max="12" width="27" customWidth="1"/>
    <col min="13" max="13" width="12" customWidth="1"/>
    <col min="14" max="14" width="14" customWidth="1"/>
    <col min="15" max="15" width="11" customWidth="1"/>
    <col min="16" max="16" width="20" customWidth="1"/>
    <col min="17" max="17" width="18" customWidth="1"/>
    <col min="18" max="18" width="28" customWidth="1"/>
  </cols>
  <sheetData>
    <row r="1" spans="1:21" ht="37.25" customHeight="1">
      <c r="A1" s="22" t="s">
        <v>0</v>
      </c>
      <c r="B1" s="22"/>
      <c r="C1" s="22"/>
      <c r="D1" s="22"/>
      <c r="E1" s="22"/>
      <c r="F1" s="22"/>
      <c r="G1" s="22"/>
      <c r="H1" s="22"/>
      <c r="I1" s="22"/>
      <c r="J1" s="22"/>
      <c r="K1" s="22"/>
      <c r="L1" s="22"/>
      <c r="M1" s="22"/>
      <c r="N1" s="22"/>
      <c r="O1" s="22"/>
      <c r="P1" s="22"/>
      <c r="Q1" s="22"/>
      <c r="R1" s="22"/>
      <c r="S1" s="8"/>
      <c r="T1" s="8"/>
      <c r="U1" s="8"/>
    </row>
    <row r="2" spans="1:21">
      <c r="A2" s="8"/>
      <c r="B2" s="8"/>
      <c r="C2" s="8"/>
      <c r="D2" s="8"/>
      <c r="E2" s="8"/>
      <c r="F2" s="8"/>
      <c r="G2" s="8"/>
      <c r="H2" s="8"/>
      <c r="I2" s="8"/>
      <c r="J2" s="8"/>
      <c r="K2" s="8"/>
      <c r="L2" s="8"/>
      <c r="M2" s="8"/>
      <c r="N2" s="8"/>
      <c r="O2" s="8"/>
      <c r="P2" s="8"/>
      <c r="Q2" s="8"/>
      <c r="R2" s="8"/>
      <c r="S2" s="8"/>
      <c r="T2" s="8"/>
      <c r="U2" s="8"/>
    </row>
    <row r="3" spans="1:21" ht="29.25" customHeight="1">
      <c r="A3" s="23" t="s">
        <v>1</v>
      </c>
      <c r="B3" s="23"/>
      <c r="C3" s="23"/>
      <c r="D3" s="23"/>
      <c r="E3" s="23"/>
      <c r="F3" s="23"/>
      <c r="G3" s="23"/>
      <c r="H3" s="23"/>
      <c r="I3" s="23"/>
      <c r="J3" s="23"/>
      <c r="K3" s="23"/>
      <c r="L3" s="23"/>
      <c r="M3" s="23"/>
      <c r="N3" s="23"/>
      <c r="O3" s="23"/>
      <c r="P3" s="23"/>
      <c r="Q3" s="23"/>
      <c r="R3" s="23"/>
      <c r="S3" s="8"/>
      <c r="T3" s="8"/>
      <c r="U3" s="8"/>
    </row>
    <row r="4" spans="1:21">
      <c r="A4" s="23"/>
      <c r="B4" s="23"/>
      <c r="C4" s="23"/>
      <c r="D4" s="23"/>
      <c r="E4" s="23"/>
      <c r="F4" s="23"/>
      <c r="G4" s="23"/>
      <c r="H4" s="23"/>
      <c r="I4" s="23"/>
      <c r="J4" s="23"/>
      <c r="K4" s="23"/>
      <c r="L4" s="23"/>
      <c r="M4" s="23"/>
      <c r="N4" s="23"/>
      <c r="O4" s="23"/>
      <c r="P4" s="23"/>
      <c r="Q4" s="23"/>
      <c r="R4" s="23"/>
      <c r="S4" s="8"/>
      <c r="T4" s="8"/>
      <c r="U4" s="8"/>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24"/>
      <c r="Q6" s="24"/>
      <c r="R6" s="24"/>
      <c r="S6" s="8"/>
      <c r="T6" s="8"/>
      <c r="U6" s="8"/>
    </row>
    <row r="7" spans="1:21" ht="32" customHeight="1">
      <c r="A7" s="25" t="s">
        <v>3</v>
      </c>
      <c r="B7" s="25"/>
      <c r="C7" s="25"/>
      <c r="D7" s="25"/>
      <c r="E7" s="25"/>
      <c r="F7" s="25"/>
      <c r="G7" s="25"/>
      <c r="H7" s="25"/>
      <c r="I7" s="25"/>
      <c r="J7" s="25"/>
      <c r="K7" s="25"/>
      <c r="L7" s="25"/>
      <c r="M7" s="25"/>
      <c r="N7" s="25"/>
      <c r="O7" s="25"/>
      <c r="P7" s="25"/>
      <c r="Q7" s="25"/>
      <c r="R7" s="25"/>
      <c r="S7" s="8"/>
      <c r="T7" s="8"/>
      <c r="U7" s="8"/>
    </row>
    <row r="8" spans="1:21">
      <c r="A8" s="25"/>
      <c r="B8" s="25"/>
      <c r="C8" s="25"/>
      <c r="D8" s="25"/>
      <c r="E8" s="25"/>
      <c r="F8" s="25"/>
      <c r="G8" s="25"/>
      <c r="H8" s="25"/>
      <c r="I8" s="25"/>
      <c r="J8" s="25"/>
      <c r="K8" s="25"/>
      <c r="L8" s="25"/>
      <c r="M8" s="25"/>
      <c r="N8" s="25"/>
      <c r="O8" s="25"/>
      <c r="P8" s="25"/>
      <c r="Q8" s="25"/>
      <c r="R8" s="25"/>
      <c r="S8" s="8"/>
      <c r="T8" s="8"/>
      <c r="U8" s="8"/>
    </row>
    <row r="9" spans="1:21">
      <c r="A9" s="26" t="s">
        <v>4</v>
      </c>
      <c r="B9" s="26"/>
      <c r="C9" s="26"/>
      <c r="D9" s="26"/>
      <c r="E9" s="26"/>
      <c r="F9" s="26"/>
      <c r="G9" s="26"/>
      <c r="H9" s="26"/>
      <c r="I9" s="26"/>
      <c r="J9" s="26"/>
      <c r="K9" s="26"/>
      <c r="L9" s="26"/>
      <c r="M9" s="26"/>
      <c r="N9" s="26"/>
      <c r="O9" s="26"/>
      <c r="P9" s="26"/>
      <c r="Q9" s="26"/>
      <c r="R9" s="26"/>
      <c r="S9" s="8"/>
      <c r="T9" s="8"/>
      <c r="U9" s="8"/>
    </row>
    <row r="10" spans="1:21">
      <c r="A10" s="8"/>
      <c r="B10" s="8"/>
      <c r="C10" s="8"/>
      <c r="D10" s="8"/>
      <c r="E10" s="8"/>
      <c r="F10" s="8"/>
      <c r="G10" s="8"/>
      <c r="H10" s="8"/>
      <c r="I10" s="8"/>
      <c r="J10" s="8"/>
      <c r="K10" s="8"/>
      <c r="L10" s="8"/>
      <c r="M10" s="8"/>
      <c r="N10" s="8"/>
      <c r="O10" s="8"/>
      <c r="P10" s="8"/>
      <c r="Q10" s="8"/>
      <c r="R10" s="8"/>
      <c r="S10" s="8"/>
      <c r="T10" s="8"/>
      <c r="U10" s="8"/>
    </row>
    <row r="11" spans="1:21" ht="45.25" customHeight="1">
      <c r="A11" s="1" t="s">
        <v>5</v>
      </c>
      <c r="B11" s="1" t="s">
        <v>6</v>
      </c>
      <c r="C11" s="1" t="s">
        <v>7</v>
      </c>
      <c r="D11" s="1" t="s">
        <v>8</v>
      </c>
      <c r="E11" s="1" t="s">
        <v>9</v>
      </c>
      <c r="F11" s="1" t="s">
        <v>10</v>
      </c>
      <c r="G11" s="1" t="s">
        <v>11</v>
      </c>
      <c r="H11" s="2" t="s">
        <v>12</v>
      </c>
      <c r="I11" s="2" t="s">
        <v>13</v>
      </c>
      <c r="J11" s="2" t="s">
        <v>14</v>
      </c>
      <c r="K11" s="2" t="s">
        <v>15</v>
      </c>
      <c r="L11" s="2" t="s">
        <v>16</v>
      </c>
      <c r="M11" s="2" t="s">
        <v>17</v>
      </c>
      <c r="N11" s="2" t="s">
        <v>18</v>
      </c>
      <c r="O11" s="2" t="s">
        <v>19</v>
      </c>
      <c r="P11" s="2" t="s">
        <v>20</v>
      </c>
      <c r="Q11" s="2" t="s">
        <v>21</v>
      </c>
      <c r="R11" s="2" t="s">
        <v>22</v>
      </c>
      <c r="S11" s="8"/>
      <c r="T11" s="8"/>
      <c r="U11" s="8"/>
    </row>
    <row r="12" spans="1:21" ht="30">
      <c r="A12" s="3" t="s">
        <v>23</v>
      </c>
      <c r="B12" s="3" t="s">
        <v>24</v>
      </c>
      <c r="C12" s="3" t="s">
        <v>25</v>
      </c>
      <c r="D12" s="3" t="s">
        <v>26</v>
      </c>
      <c r="E12" s="3">
        <v>2</v>
      </c>
      <c r="F12" s="4">
        <v>129.94999999999999</v>
      </c>
      <c r="G12" s="5">
        <v>0.1</v>
      </c>
      <c r="H12" s="10"/>
      <c r="I12" s="11"/>
      <c r="J12" s="11"/>
      <c r="K12" s="11"/>
      <c r="L12" s="11"/>
      <c r="M12" s="11"/>
      <c r="N12" s="11"/>
      <c r="O12" s="11"/>
      <c r="P12" s="11"/>
      <c r="Q12" s="11"/>
      <c r="R12" s="11"/>
      <c r="S12" s="8"/>
      <c r="T12" s="8"/>
      <c r="U12" s="8"/>
    </row>
    <row r="13" spans="1:21" ht="15">
      <c r="A13" s="3" t="s">
        <v>27</v>
      </c>
      <c r="B13" s="3" t="s">
        <v>28</v>
      </c>
      <c r="C13" s="3" t="s">
        <v>29</v>
      </c>
      <c r="D13" s="3" t="s">
        <v>30</v>
      </c>
      <c r="E13" s="3">
        <v>1</v>
      </c>
      <c r="F13" s="4">
        <v>249.5</v>
      </c>
      <c r="G13" s="5">
        <v>0</v>
      </c>
      <c r="H13" s="10"/>
      <c r="I13" s="11"/>
      <c r="J13" s="11"/>
      <c r="K13" s="11"/>
      <c r="L13" s="11"/>
      <c r="M13" s="11"/>
      <c r="N13" s="11"/>
      <c r="O13" s="11"/>
      <c r="P13" s="11"/>
      <c r="Q13" s="11"/>
      <c r="R13" s="11"/>
      <c r="S13" s="8"/>
      <c r="T13" s="8"/>
      <c r="U13" s="8"/>
    </row>
    <row r="14" spans="1:21" ht="15">
      <c r="A14" s="3" t="s">
        <v>31</v>
      </c>
      <c r="B14" s="3" t="s">
        <v>32</v>
      </c>
      <c r="C14" s="3" t="s">
        <v>33</v>
      </c>
      <c r="D14" s="3" t="s">
        <v>34</v>
      </c>
      <c r="E14" s="3">
        <v>3</v>
      </c>
      <c r="F14" s="4">
        <v>79.989999999999995</v>
      </c>
      <c r="G14" s="5">
        <v>0.05</v>
      </c>
      <c r="H14" s="10"/>
      <c r="I14" s="11"/>
      <c r="J14" s="11"/>
      <c r="K14" s="11"/>
      <c r="L14" s="11"/>
      <c r="M14" s="11"/>
      <c r="N14" s="11"/>
      <c r="O14" s="11"/>
      <c r="P14" s="11"/>
      <c r="Q14" s="11"/>
      <c r="R14" s="11"/>
      <c r="S14" s="8"/>
      <c r="T14" s="8"/>
      <c r="U14" s="8"/>
    </row>
    <row r="15" spans="1:21" ht="15">
      <c r="A15" s="3" t="s">
        <v>35</v>
      </c>
      <c r="B15" s="3" t="s">
        <v>36</v>
      </c>
      <c r="C15" s="3" t="s">
        <v>37</v>
      </c>
      <c r="D15" s="3" t="s">
        <v>38</v>
      </c>
      <c r="E15" s="3">
        <v>2</v>
      </c>
      <c r="F15" s="4">
        <v>159</v>
      </c>
      <c r="G15" s="5">
        <v>0.15</v>
      </c>
      <c r="H15" s="10"/>
      <c r="I15" s="11"/>
      <c r="J15" s="11"/>
      <c r="K15" s="11"/>
      <c r="L15" s="11"/>
      <c r="M15" s="11"/>
      <c r="N15" s="11"/>
      <c r="O15" s="11"/>
      <c r="P15" s="11"/>
      <c r="Q15" s="11"/>
      <c r="R15" s="11"/>
      <c r="S15" s="8"/>
      <c r="T15" s="8"/>
      <c r="U15" s="8"/>
    </row>
    <row r="16" spans="1:21" ht="15">
      <c r="A16" s="3" t="s">
        <v>39</v>
      </c>
      <c r="B16" s="3" t="s">
        <v>40</v>
      </c>
      <c r="C16" s="3" t="s">
        <v>41</v>
      </c>
      <c r="D16" s="3" t="s">
        <v>42</v>
      </c>
      <c r="E16" s="3">
        <v>4</v>
      </c>
      <c r="F16" s="4">
        <v>39.950000000000003</v>
      </c>
      <c r="G16" s="5">
        <v>0</v>
      </c>
      <c r="H16" s="10"/>
      <c r="I16" s="11"/>
      <c r="J16" s="11"/>
      <c r="K16" s="11"/>
      <c r="L16" s="11"/>
      <c r="M16" s="11"/>
      <c r="N16" s="11"/>
      <c r="O16" s="11"/>
      <c r="P16" s="11"/>
      <c r="Q16" s="11"/>
      <c r="R16" s="11"/>
      <c r="S16" s="8"/>
      <c r="T16" s="8"/>
      <c r="U16" s="8"/>
    </row>
    <row r="17" spans="1:21" ht="15">
      <c r="A17" s="3" t="s">
        <v>43</v>
      </c>
      <c r="B17" s="3" t="s">
        <v>44</v>
      </c>
      <c r="C17" s="3" t="s">
        <v>45</v>
      </c>
      <c r="D17" s="3" t="s">
        <v>46</v>
      </c>
      <c r="E17" s="3">
        <v>5</v>
      </c>
      <c r="F17" s="4">
        <v>24.5</v>
      </c>
      <c r="G17" s="5">
        <v>0.1</v>
      </c>
      <c r="H17" s="10"/>
      <c r="I17" s="11"/>
      <c r="J17" s="11"/>
      <c r="K17" s="11"/>
      <c r="L17" s="11"/>
      <c r="M17" s="11"/>
      <c r="N17" s="11"/>
      <c r="O17" s="11"/>
      <c r="P17" s="11"/>
      <c r="Q17" s="11"/>
      <c r="R17" s="11"/>
      <c r="S17" s="8"/>
      <c r="T17" s="8"/>
      <c r="U17" s="8"/>
    </row>
    <row r="18" spans="1:21" ht="15">
      <c r="A18" s="3" t="s">
        <v>47</v>
      </c>
      <c r="B18" s="3" t="s">
        <v>48</v>
      </c>
      <c r="C18" s="3" t="s">
        <v>49</v>
      </c>
      <c r="D18" s="3" t="s">
        <v>50</v>
      </c>
      <c r="E18" s="3">
        <v>1</v>
      </c>
      <c r="F18" s="4">
        <v>189.99</v>
      </c>
      <c r="G18" s="5">
        <v>0</v>
      </c>
      <c r="H18" s="10"/>
      <c r="I18" s="11"/>
      <c r="J18" s="11"/>
      <c r="K18" s="11"/>
      <c r="L18" s="11"/>
      <c r="M18" s="11"/>
      <c r="N18" s="11"/>
      <c r="O18" s="11"/>
      <c r="P18" s="11"/>
      <c r="Q18" s="11"/>
      <c r="R18" s="11"/>
      <c r="S18" s="8"/>
      <c r="T18" s="8"/>
      <c r="U18" s="8"/>
    </row>
    <row r="19" spans="1:21" ht="15">
      <c r="A19" s="3" t="s">
        <v>51</v>
      </c>
      <c r="B19" s="3" t="s">
        <v>52</v>
      </c>
      <c r="C19" s="3" t="s">
        <v>53</v>
      </c>
      <c r="D19" s="3" t="s">
        <v>54</v>
      </c>
      <c r="E19" s="3">
        <v>2</v>
      </c>
      <c r="F19" s="4">
        <v>119</v>
      </c>
      <c r="G19" s="5">
        <v>0.05</v>
      </c>
      <c r="H19" s="10"/>
      <c r="I19" s="11"/>
      <c r="J19" s="11"/>
      <c r="K19" s="11"/>
      <c r="L19" s="11"/>
      <c r="M19" s="11"/>
      <c r="N19" s="11"/>
      <c r="O19" s="11"/>
      <c r="P19" s="11"/>
      <c r="Q19" s="11"/>
      <c r="R19" s="11"/>
      <c r="S19" s="8"/>
      <c r="T19" s="8"/>
      <c r="U19" s="8"/>
    </row>
    <row r="20" spans="1:21" ht="15">
      <c r="A20" s="3" t="s">
        <v>55</v>
      </c>
      <c r="B20" s="3" t="s">
        <v>56</v>
      </c>
      <c r="C20" s="3" t="s">
        <v>57</v>
      </c>
      <c r="D20" s="3" t="s">
        <v>58</v>
      </c>
      <c r="E20" s="3">
        <v>1</v>
      </c>
      <c r="F20" s="4">
        <v>349.95</v>
      </c>
      <c r="G20" s="5">
        <v>0.2</v>
      </c>
      <c r="H20" s="10"/>
      <c r="I20" s="11"/>
      <c r="J20" s="11"/>
      <c r="K20" s="11"/>
      <c r="L20" s="11"/>
      <c r="M20" s="11"/>
      <c r="N20" s="11"/>
      <c r="O20" s="11"/>
      <c r="P20" s="11"/>
      <c r="Q20" s="11"/>
      <c r="R20" s="11"/>
      <c r="S20" s="8"/>
      <c r="T20" s="8"/>
      <c r="U20" s="8"/>
    </row>
    <row r="21" spans="1:21" ht="15">
      <c r="A21" s="3" t="s">
        <v>59</v>
      </c>
      <c r="B21" s="3" t="s">
        <v>60</v>
      </c>
      <c r="C21" s="3" t="s">
        <v>61</v>
      </c>
      <c r="D21" s="3" t="s">
        <v>62</v>
      </c>
      <c r="E21" s="3">
        <v>2</v>
      </c>
      <c r="F21" s="4">
        <v>89.5</v>
      </c>
      <c r="G21" s="5">
        <v>0</v>
      </c>
      <c r="H21" s="10"/>
      <c r="I21" s="11"/>
      <c r="J21" s="11"/>
      <c r="K21" s="11"/>
      <c r="L21" s="11"/>
      <c r="M21" s="11"/>
      <c r="N21" s="11"/>
      <c r="O21" s="11"/>
      <c r="P21" s="11"/>
      <c r="Q21" s="11"/>
      <c r="R21" s="11"/>
      <c r="S21" s="8"/>
      <c r="T21" s="8"/>
      <c r="U21" s="8"/>
    </row>
    <row r="22" spans="1:21" ht="50.75" customHeight="1">
      <c r="A22" s="8"/>
      <c r="B22" s="8"/>
      <c r="C22" s="8"/>
      <c r="D22" s="8"/>
      <c r="E22" s="8"/>
      <c r="F22" s="8"/>
      <c r="G22" s="8"/>
      <c r="H22" s="9" t="s">
        <v>63</v>
      </c>
      <c r="I22" s="9" t="s">
        <v>64</v>
      </c>
      <c r="J22" s="9" t="s">
        <v>65</v>
      </c>
      <c r="K22" s="9" t="s">
        <v>66</v>
      </c>
      <c r="L22" s="9" t="s">
        <v>67</v>
      </c>
      <c r="M22" s="9" t="s">
        <v>68</v>
      </c>
      <c r="N22" s="9" t="s">
        <v>69</v>
      </c>
      <c r="O22" s="9" t="s">
        <v>70</v>
      </c>
      <c r="P22" s="9" t="s">
        <v>71</v>
      </c>
      <c r="Q22" s="9" t="s">
        <v>72</v>
      </c>
      <c r="R22" s="9" t="s">
        <v>73</v>
      </c>
      <c r="S22" s="8"/>
      <c r="T22" s="8"/>
      <c r="U22" s="8"/>
    </row>
    <row r="23" spans="1:21">
      <c r="A23" s="8"/>
      <c r="B23" s="8"/>
      <c r="C23" s="8"/>
      <c r="D23" s="8"/>
      <c r="E23" s="8"/>
      <c r="F23" s="8"/>
      <c r="G23" s="8"/>
      <c r="H23" s="8"/>
      <c r="I23" s="8"/>
      <c r="J23" s="8"/>
      <c r="K23" s="8"/>
      <c r="L23" s="8"/>
      <c r="M23" s="8"/>
      <c r="N23" s="8"/>
      <c r="O23" s="8"/>
      <c r="P23" s="8"/>
      <c r="Q23" s="8"/>
      <c r="R23" s="8"/>
      <c r="S23" s="8"/>
      <c r="T23" s="8"/>
      <c r="U23" s="8"/>
    </row>
    <row r="24" spans="1:21">
      <c r="A24" s="8"/>
      <c r="B24" s="8"/>
      <c r="C24" s="8"/>
      <c r="D24" s="8"/>
      <c r="E24" s="8"/>
      <c r="F24" s="8"/>
      <c r="G24" s="8"/>
      <c r="H24" s="8"/>
      <c r="I24" s="8"/>
      <c r="J24" s="8"/>
      <c r="K24" s="8"/>
      <c r="L24" s="8"/>
      <c r="M24" s="8"/>
      <c r="N24" s="8"/>
      <c r="O24" s="8"/>
      <c r="P24" s="8"/>
      <c r="Q24" s="8"/>
      <c r="R24" s="8"/>
      <c r="S24" s="8"/>
      <c r="T24" s="8"/>
      <c r="U24" s="8"/>
    </row>
    <row r="25" spans="1:21">
      <c r="A25" s="24" t="s">
        <v>74</v>
      </c>
      <c r="B25" s="24"/>
      <c r="C25" s="24"/>
      <c r="D25" s="8"/>
      <c r="E25" s="8"/>
      <c r="F25" s="8"/>
      <c r="G25" s="8"/>
      <c r="H25" s="8"/>
      <c r="I25" s="8"/>
      <c r="J25" s="8"/>
      <c r="K25" s="8"/>
      <c r="L25" s="8"/>
      <c r="M25" s="8"/>
      <c r="N25" s="8"/>
      <c r="O25" s="8"/>
      <c r="P25" s="8"/>
      <c r="Q25" s="8"/>
      <c r="R25" s="8"/>
      <c r="S25" s="8"/>
      <c r="T25" s="8"/>
      <c r="U25" s="8"/>
    </row>
    <row r="26" spans="1:21" ht="30">
      <c r="A26" s="12" t="s">
        <v>75</v>
      </c>
      <c r="B26" s="10"/>
      <c r="C26" s="9" t="s">
        <v>76</v>
      </c>
      <c r="D26" s="8"/>
      <c r="E26" s="8"/>
      <c r="F26" s="8"/>
      <c r="G26" s="8"/>
      <c r="H26" s="8"/>
      <c r="I26" s="8"/>
      <c r="J26" s="8"/>
      <c r="K26" s="8"/>
      <c r="L26" s="8"/>
      <c r="M26" s="8"/>
      <c r="N26" s="8"/>
      <c r="O26" s="8"/>
      <c r="P26" s="8"/>
      <c r="Q26" s="8"/>
      <c r="R26" s="8"/>
      <c r="S26" s="8"/>
      <c r="T26" s="8"/>
      <c r="U26" s="8"/>
    </row>
    <row r="27" spans="1:21" ht="30">
      <c r="A27" s="12" t="s">
        <v>77</v>
      </c>
      <c r="B27" s="13"/>
      <c r="C27" s="9" t="s">
        <v>78</v>
      </c>
      <c r="D27" s="8"/>
      <c r="E27" s="8"/>
      <c r="F27" s="8"/>
      <c r="G27" s="8"/>
      <c r="H27" s="8"/>
      <c r="I27" s="8"/>
      <c r="J27" s="8"/>
      <c r="K27" s="8"/>
      <c r="L27" s="8"/>
      <c r="M27" s="8"/>
      <c r="N27" s="8"/>
      <c r="O27" s="8"/>
      <c r="P27" s="8"/>
      <c r="Q27" s="8"/>
      <c r="R27" s="8"/>
      <c r="S27" s="8"/>
      <c r="T27" s="8"/>
      <c r="U27" s="8"/>
    </row>
    <row r="28" spans="1:21" ht="30">
      <c r="A28" s="12" t="s">
        <v>79</v>
      </c>
      <c r="B28" s="13"/>
      <c r="C28" s="9" t="s">
        <v>80</v>
      </c>
      <c r="D28" s="8"/>
      <c r="E28" s="8"/>
      <c r="F28" s="8"/>
      <c r="G28" s="8"/>
      <c r="H28" s="8"/>
      <c r="I28" s="8"/>
      <c r="J28" s="8"/>
      <c r="K28" s="8"/>
      <c r="L28" s="8"/>
      <c r="M28" s="8"/>
      <c r="N28" s="8"/>
      <c r="O28" s="8"/>
      <c r="P28" s="8"/>
      <c r="Q28" s="8"/>
      <c r="R28" s="8"/>
      <c r="S28" s="8"/>
      <c r="T28" s="8"/>
      <c r="U28" s="8"/>
    </row>
    <row r="29" spans="1:21" ht="15">
      <c r="A29" s="12" t="s">
        <v>81</v>
      </c>
      <c r="B29" s="10"/>
      <c r="C29" s="9" t="s">
        <v>82</v>
      </c>
      <c r="D29" s="8"/>
      <c r="E29" s="8"/>
      <c r="F29" s="8"/>
      <c r="G29" s="8"/>
      <c r="H29" s="8"/>
      <c r="I29" s="8"/>
      <c r="J29" s="8"/>
      <c r="K29" s="8"/>
      <c r="L29" s="8"/>
      <c r="M29" s="8"/>
      <c r="N29" s="8"/>
      <c r="O29" s="8"/>
      <c r="P29" s="8"/>
      <c r="Q29" s="8"/>
      <c r="R29" s="8"/>
      <c r="S29" s="8"/>
      <c r="T29" s="8"/>
      <c r="U29" s="8"/>
    </row>
    <row r="30" spans="1:21" ht="15">
      <c r="A30" s="12" t="s">
        <v>83</v>
      </c>
      <c r="B30" s="10"/>
      <c r="C30" s="9" t="s">
        <v>84</v>
      </c>
      <c r="D30" s="8"/>
      <c r="E30" s="8"/>
      <c r="F30" s="8"/>
      <c r="G30" s="8"/>
      <c r="H30" s="8"/>
      <c r="I30" s="8"/>
      <c r="J30" s="8"/>
      <c r="K30" s="8"/>
      <c r="L30" s="8"/>
      <c r="M30" s="8"/>
      <c r="N30" s="8"/>
      <c r="O30" s="8"/>
      <c r="P30" s="8"/>
      <c r="Q30" s="8"/>
      <c r="R30" s="8"/>
      <c r="S30" s="8"/>
      <c r="T30" s="8"/>
      <c r="U30" s="8"/>
    </row>
    <row r="31" spans="1:21" ht="15">
      <c r="A31" s="12" t="s">
        <v>85</v>
      </c>
      <c r="B31" s="10"/>
      <c r="C31" s="9" t="s">
        <v>86</v>
      </c>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5:C25"/>
    <mergeCell ref="A1:R1"/>
    <mergeCell ref="A3:R4"/>
    <mergeCell ref="A6:R6"/>
    <mergeCell ref="A7:R8"/>
    <mergeCell ref="A9:R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0"/>
  <sheetViews>
    <sheetView workbookViewId="0">
      <selection sqref="A1:R1"/>
    </sheetView>
  </sheetViews>
  <sheetFormatPr baseColWidth="10" defaultColWidth="8.83203125" defaultRowHeight="14"/>
  <cols>
    <col min="1" max="1" width="15" customWidth="1"/>
    <col min="2" max="2" width="20" customWidth="1"/>
    <col min="3" max="3" width="28" customWidth="1"/>
    <col min="4" max="4" width="20" customWidth="1"/>
    <col min="5" max="5" width="9" customWidth="1"/>
    <col min="6" max="6" width="12" customWidth="1"/>
    <col min="7" max="7" width="11" customWidth="1"/>
    <col min="8" max="8" width="13" customWidth="1"/>
    <col min="9" max="9" width="10" customWidth="1"/>
    <col min="10" max="10" width="11" customWidth="1"/>
    <col min="11" max="11" width="20" customWidth="1"/>
    <col min="12" max="12" width="27" customWidth="1"/>
    <col min="13" max="13" width="12" customWidth="1"/>
    <col min="14" max="14" width="14" customWidth="1"/>
    <col min="15" max="15" width="11" customWidth="1"/>
    <col min="16" max="16" width="20" customWidth="1"/>
    <col min="17" max="17" width="18" customWidth="1"/>
    <col min="18" max="18" width="28" customWidth="1"/>
  </cols>
  <sheetData>
    <row r="1" spans="1:21" ht="37.25" customHeight="1">
      <c r="A1" s="22" t="s">
        <v>87</v>
      </c>
      <c r="B1" s="22"/>
      <c r="C1" s="22"/>
      <c r="D1" s="22"/>
      <c r="E1" s="22"/>
      <c r="F1" s="22"/>
      <c r="G1" s="22"/>
      <c r="H1" s="22"/>
      <c r="I1" s="22"/>
      <c r="J1" s="22"/>
      <c r="K1" s="22"/>
      <c r="L1" s="22"/>
      <c r="M1" s="22"/>
      <c r="N1" s="22"/>
      <c r="O1" s="22"/>
      <c r="P1" s="22"/>
      <c r="Q1" s="22"/>
      <c r="R1" s="22"/>
      <c r="S1" s="8"/>
      <c r="T1" s="8"/>
      <c r="U1" s="8"/>
    </row>
    <row r="2" spans="1:21">
      <c r="A2" s="8"/>
      <c r="B2" s="8"/>
      <c r="C2" s="8"/>
      <c r="D2" s="8"/>
      <c r="E2" s="8"/>
      <c r="F2" s="8"/>
      <c r="G2" s="8"/>
      <c r="H2" s="8"/>
      <c r="I2" s="8"/>
      <c r="J2" s="8"/>
      <c r="K2" s="8"/>
      <c r="L2" s="8"/>
      <c r="M2" s="8"/>
      <c r="N2" s="8"/>
      <c r="O2" s="8"/>
      <c r="P2" s="8"/>
      <c r="Q2" s="8"/>
      <c r="R2" s="8"/>
      <c r="S2" s="8"/>
      <c r="T2" s="8"/>
      <c r="U2" s="8"/>
    </row>
    <row r="3" spans="1:21" ht="29.25" customHeight="1">
      <c r="A3" s="23" t="s">
        <v>1</v>
      </c>
      <c r="B3" s="23"/>
      <c r="C3" s="23"/>
      <c r="D3" s="23"/>
      <c r="E3" s="23"/>
      <c r="F3" s="23"/>
      <c r="G3" s="23"/>
      <c r="H3" s="23"/>
      <c r="I3" s="23"/>
      <c r="J3" s="23"/>
      <c r="K3" s="23"/>
      <c r="L3" s="23"/>
      <c r="M3" s="23"/>
      <c r="N3" s="23"/>
      <c r="O3" s="23"/>
      <c r="P3" s="23"/>
      <c r="Q3" s="23"/>
      <c r="R3" s="23"/>
      <c r="S3" s="8"/>
      <c r="T3" s="8"/>
      <c r="U3" s="8"/>
    </row>
    <row r="4" spans="1:21">
      <c r="A4" s="23"/>
      <c r="B4" s="23"/>
      <c r="C4" s="23"/>
      <c r="D4" s="23"/>
      <c r="E4" s="23"/>
      <c r="F4" s="23"/>
      <c r="G4" s="23"/>
      <c r="H4" s="23"/>
      <c r="I4" s="23"/>
      <c r="J4" s="23"/>
      <c r="K4" s="23"/>
      <c r="L4" s="23"/>
      <c r="M4" s="23"/>
      <c r="N4" s="23"/>
      <c r="O4" s="23"/>
      <c r="P4" s="23"/>
      <c r="Q4" s="23"/>
      <c r="R4" s="23"/>
      <c r="S4" s="8"/>
      <c r="T4" s="8"/>
      <c r="U4" s="8"/>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24"/>
      <c r="Q6" s="24"/>
      <c r="R6" s="24"/>
      <c r="S6" s="8"/>
      <c r="T6" s="8"/>
      <c r="U6" s="8"/>
    </row>
    <row r="7" spans="1:21" ht="32" customHeight="1">
      <c r="A7" s="25" t="s">
        <v>3</v>
      </c>
      <c r="B7" s="25"/>
      <c r="C7" s="25"/>
      <c r="D7" s="25"/>
      <c r="E7" s="25"/>
      <c r="F7" s="25"/>
      <c r="G7" s="25"/>
      <c r="H7" s="25"/>
      <c r="I7" s="25"/>
      <c r="J7" s="25"/>
      <c r="K7" s="25"/>
      <c r="L7" s="25"/>
      <c r="M7" s="25"/>
      <c r="N7" s="25"/>
      <c r="O7" s="25"/>
      <c r="P7" s="25"/>
      <c r="Q7" s="25"/>
      <c r="R7" s="25"/>
      <c r="S7" s="8"/>
      <c r="T7" s="8"/>
      <c r="U7" s="8"/>
    </row>
    <row r="8" spans="1:21">
      <c r="A8" s="25"/>
      <c r="B8" s="25"/>
      <c r="C8" s="25"/>
      <c r="D8" s="25"/>
      <c r="E8" s="25"/>
      <c r="F8" s="25"/>
      <c r="G8" s="25"/>
      <c r="H8" s="25"/>
      <c r="I8" s="25"/>
      <c r="J8" s="25"/>
      <c r="K8" s="25"/>
      <c r="L8" s="25"/>
      <c r="M8" s="25"/>
      <c r="N8" s="25"/>
      <c r="O8" s="25"/>
      <c r="P8" s="25"/>
      <c r="Q8" s="25"/>
      <c r="R8" s="25"/>
      <c r="S8" s="8"/>
      <c r="T8" s="8"/>
      <c r="U8" s="8"/>
    </row>
    <row r="9" spans="1:21" ht="15">
      <c r="A9" s="27" t="s">
        <v>88</v>
      </c>
      <c r="B9" s="27"/>
      <c r="C9" s="27"/>
      <c r="D9" s="27"/>
      <c r="E9" s="27"/>
      <c r="F9" s="27"/>
      <c r="G9" s="27"/>
      <c r="H9" s="27"/>
      <c r="I9" s="27"/>
      <c r="J9" s="27"/>
      <c r="K9" s="27"/>
      <c r="L9" s="27"/>
      <c r="M9" s="27"/>
      <c r="N9" s="27"/>
      <c r="O9" s="27"/>
      <c r="P9" s="27"/>
      <c r="Q9" s="27"/>
      <c r="R9" s="27"/>
      <c r="S9" s="8"/>
      <c r="T9" s="8"/>
      <c r="U9" s="8"/>
    </row>
    <row r="10" spans="1:21">
      <c r="A10" s="8"/>
      <c r="B10" s="8"/>
      <c r="C10" s="8"/>
      <c r="D10" s="8"/>
      <c r="E10" s="8"/>
      <c r="F10" s="8"/>
      <c r="G10" s="8"/>
      <c r="H10" s="8"/>
      <c r="I10" s="8"/>
      <c r="J10" s="8"/>
      <c r="K10" s="8"/>
      <c r="L10" s="8"/>
      <c r="M10" s="8"/>
      <c r="N10" s="8"/>
      <c r="O10" s="8"/>
      <c r="P10" s="8"/>
      <c r="Q10" s="8"/>
      <c r="R10" s="8"/>
      <c r="S10" s="8"/>
      <c r="T10" s="8"/>
      <c r="U10" s="8"/>
    </row>
    <row r="11" spans="1:21" ht="45.25" customHeight="1">
      <c r="A11" s="1" t="s">
        <v>5</v>
      </c>
      <c r="B11" s="1" t="s">
        <v>6</v>
      </c>
      <c r="C11" s="1" t="s">
        <v>7</v>
      </c>
      <c r="D11" s="1" t="s">
        <v>8</v>
      </c>
      <c r="E11" s="1" t="s">
        <v>9</v>
      </c>
      <c r="F11" s="1" t="s">
        <v>10</v>
      </c>
      <c r="G11" s="1" t="s">
        <v>11</v>
      </c>
      <c r="H11" s="2" t="s">
        <v>12</v>
      </c>
      <c r="I11" s="2" t="s">
        <v>13</v>
      </c>
      <c r="J11" s="2" t="s">
        <v>14</v>
      </c>
      <c r="K11" s="2" t="s">
        <v>15</v>
      </c>
      <c r="L11" s="2" t="s">
        <v>16</v>
      </c>
      <c r="M11" s="2" t="s">
        <v>17</v>
      </c>
      <c r="N11" s="2" t="s">
        <v>18</v>
      </c>
      <c r="O11" s="2" t="s">
        <v>19</v>
      </c>
      <c r="P11" s="2" t="s">
        <v>20</v>
      </c>
      <c r="Q11" s="2" t="s">
        <v>21</v>
      </c>
      <c r="R11" s="2" t="s">
        <v>22</v>
      </c>
      <c r="S11" s="8"/>
      <c r="T11" s="8"/>
      <c r="U11" s="8"/>
    </row>
    <row r="12" spans="1:21" ht="30">
      <c r="A12" s="3" t="s">
        <v>23</v>
      </c>
      <c r="B12" s="3" t="s">
        <v>24</v>
      </c>
      <c r="C12" s="3" t="s">
        <v>25</v>
      </c>
      <c r="D12" s="3" t="s">
        <v>26</v>
      </c>
      <c r="E12" s="3">
        <v>2</v>
      </c>
      <c r="F12" s="4">
        <v>129.94999999999999</v>
      </c>
      <c r="G12" s="5">
        <v>0.1</v>
      </c>
      <c r="H12" s="14">
        <f t="shared" ref="H12:H21" si="0">E12*F12*(1-G12)</f>
        <v>233.91</v>
      </c>
      <c r="I12" s="12" t="str">
        <f t="shared" ref="I12:I21" si="1">LEFT(A12,2)</f>
        <v>NE</v>
      </c>
      <c r="J12" s="12" t="str">
        <f t="shared" ref="J12:J21" si="2">RIGHT(A12,5)</f>
        <v>10482</v>
      </c>
      <c r="K12" s="12" t="str">
        <f t="shared" ref="K12:K21" si="3">UPPER(B12)</f>
        <v>MARIA PATEL</v>
      </c>
      <c r="L12" s="12" t="str">
        <f t="shared" ref="L12:L21" si="4">LOWER(C12)</f>
        <v>maria.patel@example.com</v>
      </c>
      <c r="M12" s="12">
        <f t="shared" ref="M12:M21" si="5">LEN(B12)</f>
        <v>11</v>
      </c>
      <c r="N12" s="12">
        <f t="shared" ref="N12:N21" si="6">FIND("_",D12)</f>
        <v>3</v>
      </c>
      <c r="O12" s="12" t="str">
        <f t="shared" ref="O12:O21" si="7">MID(D12,4,2)</f>
        <v>27</v>
      </c>
      <c r="P12" s="12" t="str">
        <f t="shared" ref="P12:P21" si="8">SUBSTITUTE(D12,"_","-")</f>
        <v>BK-27-NorthEast</v>
      </c>
      <c r="Q12" s="12" t="str">
        <f t="shared" ref="Q12:Q21" si="9">REPLACE(D12,1,2,"OUT")</f>
        <v>OUT_27_NorthEast</v>
      </c>
      <c r="R12" s="12" t="e">
        <f t="shared" ref="R12:R21" ca="1" si="10">_xludf.CONCAT(I12,"-",J12," | ",K12)</f>
        <v>#NAME?</v>
      </c>
      <c r="S12" s="8"/>
      <c r="T12" s="8"/>
      <c r="U12" s="8"/>
    </row>
    <row r="13" spans="1:21" ht="15">
      <c r="A13" s="3" t="s">
        <v>27</v>
      </c>
      <c r="B13" s="3" t="s">
        <v>28</v>
      </c>
      <c r="C13" s="3" t="s">
        <v>29</v>
      </c>
      <c r="D13" s="3" t="s">
        <v>30</v>
      </c>
      <c r="E13" s="3">
        <v>1</v>
      </c>
      <c r="F13" s="4">
        <v>249.5</v>
      </c>
      <c r="G13" s="5">
        <v>0</v>
      </c>
      <c r="H13" s="14">
        <f t="shared" si="0"/>
        <v>249.5</v>
      </c>
      <c r="I13" s="12" t="str">
        <f t="shared" si="1"/>
        <v>SE</v>
      </c>
      <c r="J13" s="12" t="str">
        <f t="shared" si="2"/>
        <v>10503</v>
      </c>
      <c r="K13" s="12" t="str">
        <f t="shared" si="3"/>
        <v>DANIEL REED</v>
      </c>
      <c r="L13" s="12" t="str">
        <f t="shared" si="4"/>
        <v>dreed@outlook.com</v>
      </c>
      <c r="M13" s="12">
        <f t="shared" si="5"/>
        <v>11</v>
      </c>
      <c r="N13" s="12">
        <f t="shared" si="6"/>
        <v>3</v>
      </c>
      <c r="O13" s="12" t="str">
        <f t="shared" si="7"/>
        <v>14</v>
      </c>
      <c r="P13" s="12" t="str">
        <f t="shared" si="8"/>
        <v>TN-14-SouthEast</v>
      </c>
      <c r="Q13" s="12" t="str">
        <f t="shared" si="9"/>
        <v>OUT_14_SouthEast</v>
      </c>
      <c r="R13" s="12" t="e">
        <f t="shared" ca="1" si="10"/>
        <v>#NAME?</v>
      </c>
      <c r="S13" s="8"/>
      <c r="T13" s="8"/>
      <c r="U13" s="8"/>
    </row>
    <row r="14" spans="1:21" ht="15">
      <c r="A14" s="3" t="s">
        <v>31</v>
      </c>
      <c r="B14" s="3" t="s">
        <v>32</v>
      </c>
      <c r="C14" s="3" t="s">
        <v>33</v>
      </c>
      <c r="D14" s="3" t="s">
        <v>34</v>
      </c>
      <c r="E14" s="3">
        <v>3</v>
      </c>
      <c r="F14" s="4">
        <v>79.989999999999995</v>
      </c>
      <c r="G14" s="5">
        <v>0.05</v>
      </c>
      <c r="H14" s="14">
        <f t="shared" si="0"/>
        <v>227.97149999999996</v>
      </c>
      <c r="I14" s="12" t="str">
        <f t="shared" si="1"/>
        <v>MW</v>
      </c>
      <c r="J14" s="12" t="str">
        <f t="shared" si="2"/>
        <v>10527</v>
      </c>
      <c r="K14" s="12" t="str">
        <f t="shared" si="3"/>
        <v>ALICIA GOMEZ</v>
      </c>
      <c r="L14" s="12" t="str">
        <f t="shared" si="4"/>
        <v>alicia.g@example.com</v>
      </c>
      <c r="M14" s="12">
        <f t="shared" si="5"/>
        <v>12</v>
      </c>
      <c r="N14" s="12">
        <f t="shared" si="6"/>
        <v>3</v>
      </c>
      <c r="O14" s="12" t="str">
        <f t="shared" si="7"/>
        <v>33</v>
      </c>
      <c r="P14" s="12" t="str">
        <f t="shared" si="8"/>
        <v>BP-33-MidWest</v>
      </c>
      <c r="Q14" s="12" t="str">
        <f t="shared" si="9"/>
        <v>OUT_33_MidWest</v>
      </c>
      <c r="R14" s="12" t="e">
        <f t="shared" ca="1" si="10"/>
        <v>#NAME?</v>
      </c>
      <c r="S14" s="8"/>
      <c r="T14" s="8"/>
      <c r="U14" s="8"/>
    </row>
    <row r="15" spans="1:21" ht="15">
      <c r="A15" s="3" t="s">
        <v>35</v>
      </c>
      <c r="B15" s="3" t="s">
        <v>36</v>
      </c>
      <c r="C15" s="3" t="s">
        <v>37</v>
      </c>
      <c r="D15" s="3" t="s">
        <v>38</v>
      </c>
      <c r="E15" s="3">
        <v>2</v>
      </c>
      <c r="F15" s="4">
        <v>159</v>
      </c>
      <c r="G15" s="5">
        <v>0.15</v>
      </c>
      <c r="H15" s="14">
        <f t="shared" si="0"/>
        <v>270.3</v>
      </c>
      <c r="I15" s="12" t="str">
        <f t="shared" si="1"/>
        <v>NE</v>
      </c>
      <c r="J15" s="12" t="str">
        <f t="shared" si="2"/>
        <v>10544</v>
      </c>
      <c r="K15" s="12" t="str">
        <f t="shared" si="3"/>
        <v>ROBERT CHEN</v>
      </c>
      <c r="L15" s="12" t="str">
        <f t="shared" si="4"/>
        <v>rchen@mail.com</v>
      </c>
      <c r="M15" s="12">
        <f t="shared" si="5"/>
        <v>11</v>
      </c>
      <c r="N15" s="12">
        <f t="shared" si="6"/>
        <v>3</v>
      </c>
      <c r="O15" s="12" t="str">
        <f t="shared" si="7"/>
        <v>18</v>
      </c>
      <c r="P15" s="12" t="str">
        <f t="shared" si="8"/>
        <v>GL-18-NorthEast</v>
      </c>
      <c r="Q15" s="12" t="str">
        <f t="shared" si="9"/>
        <v>OUT_18_NorthEast</v>
      </c>
      <c r="R15" s="12" t="e">
        <f t="shared" ca="1" si="10"/>
        <v>#NAME?</v>
      </c>
      <c r="S15" s="8"/>
      <c r="T15" s="8"/>
      <c r="U15" s="8"/>
    </row>
    <row r="16" spans="1:21" ht="15">
      <c r="A16" s="3" t="s">
        <v>39</v>
      </c>
      <c r="B16" s="3" t="s">
        <v>40</v>
      </c>
      <c r="C16" s="3" t="s">
        <v>41</v>
      </c>
      <c r="D16" s="3" t="s">
        <v>42</v>
      </c>
      <c r="E16" s="3">
        <v>4</v>
      </c>
      <c r="F16" s="4">
        <v>39.950000000000003</v>
      </c>
      <c r="G16" s="5">
        <v>0</v>
      </c>
      <c r="H16" s="14">
        <f t="shared" si="0"/>
        <v>159.80000000000001</v>
      </c>
      <c r="I16" s="12" t="str">
        <f t="shared" si="1"/>
        <v>SW</v>
      </c>
      <c r="J16" s="12" t="str">
        <f t="shared" si="2"/>
        <v>10568</v>
      </c>
      <c r="K16" s="12" t="str">
        <f t="shared" si="3"/>
        <v>JAMIE LEE</v>
      </c>
      <c r="L16" s="12" t="str">
        <f t="shared" si="4"/>
        <v>jamie.lee@example.com</v>
      </c>
      <c r="M16" s="12">
        <f t="shared" si="5"/>
        <v>9</v>
      </c>
      <c r="N16" s="12">
        <f t="shared" si="6"/>
        <v>3</v>
      </c>
      <c r="O16" s="12" t="str">
        <f t="shared" si="7"/>
        <v>42</v>
      </c>
      <c r="P16" s="12" t="str">
        <f t="shared" si="8"/>
        <v>ST-42-SouthWest</v>
      </c>
      <c r="Q16" s="12" t="str">
        <f t="shared" si="9"/>
        <v>OUT_42_SouthWest</v>
      </c>
      <c r="R16" s="12" t="e">
        <f t="shared" ca="1" si="10"/>
        <v>#NAME?</v>
      </c>
      <c r="S16" s="8"/>
      <c r="T16" s="8"/>
      <c r="U16" s="8"/>
    </row>
    <row r="17" spans="1:21" ht="15">
      <c r="A17" s="3" t="s">
        <v>43</v>
      </c>
      <c r="B17" s="3" t="s">
        <v>44</v>
      </c>
      <c r="C17" s="3" t="s">
        <v>45</v>
      </c>
      <c r="D17" s="3" t="s">
        <v>46</v>
      </c>
      <c r="E17" s="3">
        <v>5</v>
      </c>
      <c r="F17" s="4">
        <v>24.5</v>
      </c>
      <c r="G17" s="5">
        <v>0.1</v>
      </c>
      <c r="H17" s="14">
        <f t="shared" si="0"/>
        <v>110.25</v>
      </c>
      <c r="I17" s="12" t="str">
        <f t="shared" si="1"/>
        <v>SE</v>
      </c>
      <c r="J17" s="12" t="str">
        <f t="shared" si="2"/>
        <v>10589</v>
      </c>
      <c r="K17" s="12" t="str">
        <f t="shared" si="3"/>
        <v>PRIYA SHAH</v>
      </c>
      <c r="L17" s="12" t="str">
        <f t="shared" si="4"/>
        <v>priya.shah@mail.com</v>
      </c>
      <c r="M17" s="12">
        <f t="shared" si="5"/>
        <v>10</v>
      </c>
      <c r="N17" s="12">
        <f t="shared" si="6"/>
        <v>3</v>
      </c>
      <c r="O17" s="12" t="str">
        <f t="shared" si="7"/>
        <v>21</v>
      </c>
      <c r="P17" s="12" t="str">
        <f t="shared" si="8"/>
        <v>BT-21-SouthEast</v>
      </c>
      <c r="Q17" s="12" t="str">
        <f t="shared" si="9"/>
        <v>OUT_21_SouthEast</v>
      </c>
      <c r="R17" s="12" t="e">
        <f t="shared" ca="1" si="10"/>
        <v>#NAME?</v>
      </c>
      <c r="S17" s="8"/>
      <c r="T17" s="8"/>
      <c r="U17" s="8"/>
    </row>
    <row r="18" spans="1:21" ht="15">
      <c r="A18" s="3" t="s">
        <v>47</v>
      </c>
      <c r="B18" s="3" t="s">
        <v>48</v>
      </c>
      <c r="C18" s="3" t="s">
        <v>49</v>
      </c>
      <c r="D18" s="3" t="s">
        <v>50</v>
      </c>
      <c r="E18" s="3">
        <v>1</v>
      </c>
      <c r="F18" s="4">
        <v>189.99</v>
      </c>
      <c r="G18" s="5">
        <v>0</v>
      </c>
      <c r="H18" s="14">
        <f t="shared" si="0"/>
        <v>189.99</v>
      </c>
      <c r="I18" s="12" t="str">
        <f t="shared" si="1"/>
        <v>MW</v>
      </c>
      <c r="J18" s="12" t="str">
        <f t="shared" si="2"/>
        <v>10610</v>
      </c>
      <c r="K18" s="12" t="str">
        <f t="shared" si="3"/>
        <v>KEVIN BROWN</v>
      </c>
      <c r="L18" s="12" t="str">
        <f t="shared" si="4"/>
        <v>kbrown@example.com</v>
      </c>
      <c r="M18" s="12">
        <f t="shared" si="5"/>
        <v>11</v>
      </c>
      <c r="N18" s="12">
        <f t="shared" si="6"/>
        <v>3</v>
      </c>
      <c r="O18" s="12" t="str">
        <f t="shared" si="7"/>
        <v>36</v>
      </c>
      <c r="P18" s="12" t="str">
        <f t="shared" si="8"/>
        <v>RB-36-MidWest</v>
      </c>
      <c r="Q18" s="12" t="str">
        <f t="shared" si="9"/>
        <v>OUT_36_MidWest</v>
      </c>
      <c r="R18" s="12" t="e">
        <f t="shared" ca="1" si="10"/>
        <v>#NAME?</v>
      </c>
      <c r="S18" s="8"/>
      <c r="T18" s="8"/>
      <c r="U18" s="8"/>
    </row>
    <row r="19" spans="1:21" ht="15">
      <c r="A19" s="3" t="s">
        <v>51</v>
      </c>
      <c r="B19" s="3" t="s">
        <v>52</v>
      </c>
      <c r="C19" s="3" t="s">
        <v>53</v>
      </c>
      <c r="D19" s="3" t="s">
        <v>54</v>
      </c>
      <c r="E19" s="3">
        <v>2</v>
      </c>
      <c r="F19" s="4">
        <v>119</v>
      </c>
      <c r="G19" s="5">
        <v>0.05</v>
      </c>
      <c r="H19" s="14">
        <f t="shared" si="0"/>
        <v>226.1</v>
      </c>
      <c r="I19" s="12" t="str">
        <f t="shared" si="1"/>
        <v>NE</v>
      </c>
      <c r="J19" s="12" t="str">
        <f t="shared" si="2"/>
        <v>10638</v>
      </c>
      <c r="K19" s="12" t="str">
        <f t="shared" si="3"/>
        <v>SARAH O'NEIL</v>
      </c>
      <c r="L19" s="12" t="str">
        <f t="shared" si="4"/>
        <v>soneil@mail.com</v>
      </c>
      <c r="M19" s="12">
        <f t="shared" si="5"/>
        <v>12</v>
      </c>
      <c r="N19" s="12">
        <f t="shared" si="6"/>
        <v>3</v>
      </c>
      <c r="O19" s="12" t="str">
        <f t="shared" si="7"/>
        <v>12</v>
      </c>
      <c r="P19" s="12" t="str">
        <f t="shared" si="8"/>
        <v>SH-12-NorthEast</v>
      </c>
      <c r="Q19" s="12" t="str">
        <f t="shared" si="9"/>
        <v>OUT_12_NorthEast</v>
      </c>
      <c r="R19" s="12" t="e">
        <f t="shared" ca="1" si="10"/>
        <v>#NAME?</v>
      </c>
      <c r="S19" s="8"/>
      <c r="T19" s="8"/>
      <c r="U19" s="8"/>
    </row>
    <row r="20" spans="1:21" ht="15">
      <c r="A20" s="3" t="s">
        <v>55</v>
      </c>
      <c r="B20" s="3" t="s">
        <v>56</v>
      </c>
      <c r="C20" s="3" t="s">
        <v>57</v>
      </c>
      <c r="D20" s="3" t="s">
        <v>58</v>
      </c>
      <c r="E20" s="3">
        <v>1</v>
      </c>
      <c r="F20" s="4">
        <v>349.95</v>
      </c>
      <c r="G20" s="5">
        <v>0.2</v>
      </c>
      <c r="H20" s="14">
        <f t="shared" si="0"/>
        <v>279.95999999999998</v>
      </c>
      <c r="I20" s="12" t="str">
        <f t="shared" si="1"/>
        <v>SW</v>
      </c>
      <c r="J20" s="12" t="str">
        <f t="shared" si="2"/>
        <v>10657</v>
      </c>
      <c r="K20" s="12" t="str">
        <f t="shared" si="3"/>
        <v>MARCUS KING</v>
      </c>
      <c r="L20" s="12" t="str">
        <f t="shared" si="4"/>
        <v>mking@example.com</v>
      </c>
      <c r="M20" s="12">
        <f t="shared" si="5"/>
        <v>11</v>
      </c>
      <c r="N20" s="12">
        <f t="shared" si="6"/>
        <v>3</v>
      </c>
      <c r="O20" s="12" t="str">
        <f t="shared" si="7"/>
        <v>25</v>
      </c>
      <c r="P20" s="12" t="str">
        <f t="shared" si="8"/>
        <v>HL-25-SouthWest</v>
      </c>
      <c r="Q20" s="12" t="str">
        <f t="shared" si="9"/>
        <v>OUT_25_SouthWest</v>
      </c>
      <c r="R20" s="12" t="e">
        <f t="shared" ca="1" si="10"/>
        <v>#NAME?</v>
      </c>
      <c r="S20" s="8"/>
      <c r="T20" s="8"/>
      <c r="U20" s="8"/>
    </row>
    <row r="21" spans="1:21" ht="15">
      <c r="A21" s="3" t="s">
        <v>59</v>
      </c>
      <c r="B21" s="3" t="s">
        <v>60</v>
      </c>
      <c r="C21" s="3" t="s">
        <v>61</v>
      </c>
      <c r="D21" s="3" t="s">
        <v>62</v>
      </c>
      <c r="E21" s="3">
        <v>2</v>
      </c>
      <c r="F21" s="4">
        <v>89.5</v>
      </c>
      <c r="G21" s="5">
        <v>0</v>
      </c>
      <c r="H21" s="14">
        <f t="shared" si="0"/>
        <v>179</v>
      </c>
      <c r="I21" s="12" t="str">
        <f t="shared" si="1"/>
        <v>SE</v>
      </c>
      <c r="J21" s="12" t="str">
        <f t="shared" si="2"/>
        <v>10681</v>
      </c>
      <c r="K21" s="12" t="str">
        <f t="shared" si="3"/>
        <v>EMILY DAVIS</v>
      </c>
      <c r="L21" s="12" t="str">
        <f t="shared" si="4"/>
        <v>emily.d@mail.com</v>
      </c>
      <c r="M21" s="12">
        <f t="shared" si="5"/>
        <v>11</v>
      </c>
      <c r="N21" s="12">
        <f t="shared" si="6"/>
        <v>3</v>
      </c>
      <c r="O21" s="12" t="str">
        <f t="shared" si="7"/>
        <v>31</v>
      </c>
      <c r="P21" s="12" t="str">
        <f t="shared" si="8"/>
        <v>BG-31-SouthEast</v>
      </c>
      <c r="Q21" s="12" t="str">
        <f t="shared" si="9"/>
        <v>OUT_31_SouthEast</v>
      </c>
      <c r="R21" s="12" t="e">
        <f t="shared" ca="1" si="10"/>
        <v>#NAME?</v>
      </c>
      <c r="S21" s="8"/>
      <c r="T21" s="8"/>
      <c r="U21" s="8"/>
    </row>
    <row r="22" spans="1:21" ht="50.75" customHeight="1">
      <c r="A22" s="8"/>
      <c r="B22" s="8"/>
      <c r="C22" s="8"/>
      <c r="D22" s="8"/>
      <c r="E22" s="8"/>
      <c r="F22" s="8"/>
      <c r="G22" s="8"/>
      <c r="H22" s="9" t="s">
        <v>63</v>
      </c>
      <c r="I22" s="9" t="s">
        <v>64</v>
      </c>
      <c r="J22" s="9" t="s">
        <v>65</v>
      </c>
      <c r="K22" s="9" t="s">
        <v>66</v>
      </c>
      <c r="L22" s="9" t="s">
        <v>67</v>
      </c>
      <c r="M22" s="9" t="s">
        <v>68</v>
      </c>
      <c r="N22" s="9" t="s">
        <v>69</v>
      </c>
      <c r="O22" s="9" t="s">
        <v>70</v>
      </c>
      <c r="P22" s="9" t="s">
        <v>71</v>
      </c>
      <c r="Q22" s="9" t="s">
        <v>72</v>
      </c>
      <c r="R22" s="9" t="s">
        <v>73</v>
      </c>
      <c r="S22" s="8"/>
      <c r="T22" s="8"/>
      <c r="U22" s="8"/>
    </row>
    <row r="23" spans="1:21">
      <c r="A23" s="8"/>
      <c r="B23" s="8"/>
      <c r="C23" s="8"/>
      <c r="D23" s="8"/>
      <c r="E23" s="8"/>
      <c r="F23" s="8"/>
      <c r="G23" s="8"/>
      <c r="H23" s="8"/>
      <c r="I23" s="8"/>
      <c r="J23" s="8"/>
      <c r="K23" s="8"/>
      <c r="L23" s="8"/>
      <c r="M23" s="8"/>
      <c r="N23" s="8"/>
      <c r="O23" s="8"/>
      <c r="P23" s="8"/>
      <c r="Q23" s="8"/>
      <c r="R23" s="8"/>
      <c r="S23" s="8"/>
      <c r="T23" s="8"/>
      <c r="U23" s="8"/>
    </row>
    <row r="24" spans="1:21">
      <c r="A24" s="8"/>
      <c r="B24" s="8"/>
      <c r="C24" s="8"/>
      <c r="D24" s="8"/>
      <c r="E24" s="8"/>
      <c r="F24" s="8"/>
      <c r="G24" s="8"/>
      <c r="H24" s="8"/>
      <c r="I24" s="8"/>
      <c r="J24" s="8"/>
      <c r="K24" s="8"/>
      <c r="L24" s="8"/>
      <c r="M24" s="8"/>
      <c r="N24" s="8"/>
      <c r="O24" s="8"/>
      <c r="P24" s="8"/>
      <c r="Q24" s="8"/>
      <c r="R24" s="8"/>
      <c r="S24" s="8"/>
      <c r="T24" s="8"/>
      <c r="U24" s="8"/>
    </row>
    <row r="25" spans="1:21">
      <c r="A25" s="24" t="s">
        <v>74</v>
      </c>
      <c r="B25" s="24"/>
      <c r="C25" s="24"/>
      <c r="D25" s="8"/>
      <c r="E25" s="8"/>
      <c r="F25" s="8"/>
      <c r="G25" s="8"/>
      <c r="H25" s="8"/>
      <c r="I25" s="8"/>
      <c r="J25" s="8"/>
      <c r="K25" s="8"/>
      <c r="L25" s="8"/>
      <c r="M25" s="8"/>
      <c r="N25" s="8"/>
      <c r="O25" s="8"/>
      <c r="P25" s="8"/>
      <c r="Q25" s="8"/>
      <c r="R25" s="8"/>
      <c r="S25" s="8"/>
      <c r="T25" s="8"/>
      <c r="U25" s="8"/>
    </row>
    <row r="26" spans="1:21" ht="30">
      <c r="A26" s="12" t="s">
        <v>75</v>
      </c>
      <c r="B26" s="14">
        <f>SUM(H12:H21)</f>
        <v>2126.7815000000001</v>
      </c>
      <c r="C26" s="9" t="s">
        <v>76</v>
      </c>
      <c r="D26" s="8"/>
      <c r="E26" s="8"/>
      <c r="F26" s="8"/>
      <c r="G26" s="8"/>
      <c r="H26" s="8"/>
      <c r="I26" s="8"/>
      <c r="J26" s="8"/>
      <c r="K26" s="8"/>
      <c r="L26" s="8"/>
      <c r="M26" s="8"/>
      <c r="N26" s="8"/>
      <c r="O26" s="8"/>
      <c r="P26" s="8"/>
      <c r="Q26" s="8"/>
      <c r="R26" s="8"/>
      <c r="S26" s="8"/>
      <c r="T26" s="8"/>
      <c r="U26" s="8"/>
    </row>
    <row r="27" spans="1:21" ht="30">
      <c r="A27" s="12" t="s">
        <v>77</v>
      </c>
      <c r="B27" s="15">
        <f>COUNT(H12:H21)</f>
        <v>10</v>
      </c>
      <c r="C27" s="9" t="s">
        <v>78</v>
      </c>
      <c r="D27" s="8"/>
      <c r="E27" s="8"/>
      <c r="F27" s="8"/>
      <c r="G27" s="8"/>
      <c r="H27" s="8"/>
      <c r="I27" s="8"/>
      <c r="J27" s="8"/>
      <c r="K27" s="8"/>
      <c r="L27" s="8"/>
      <c r="M27" s="8"/>
      <c r="N27" s="8"/>
      <c r="O27" s="8"/>
      <c r="P27" s="8"/>
      <c r="Q27" s="8"/>
      <c r="R27" s="8"/>
      <c r="S27" s="8"/>
      <c r="T27" s="8"/>
      <c r="U27" s="8"/>
    </row>
    <row r="28" spans="1:21" ht="30">
      <c r="A28" s="12" t="s">
        <v>79</v>
      </c>
      <c r="B28" s="15">
        <f>COUNTA(B12:B21)</f>
        <v>10</v>
      </c>
      <c r="C28" s="9" t="s">
        <v>80</v>
      </c>
      <c r="D28" s="8"/>
      <c r="E28" s="8"/>
      <c r="F28" s="8"/>
      <c r="G28" s="8"/>
      <c r="H28" s="8"/>
      <c r="I28" s="8"/>
      <c r="J28" s="8"/>
      <c r="K28" s="8"/>
      <c r="L28" s="8"/>
      <c r="M28" s="8"/>
      <c r="N28" s="8"/>
      <c r="O28" s="8"/>
      <c r="P28" s="8"/>
      <c r="Q28" s="8"/>
      <c r="R28" s="8"/>
      <c r="S28" s="8"/>
      <c r="T28" s="8"/>
      <c r="U28" s="8"/>
    </row>
    <row r="29" spans="1:21" ht="15">
      <c r="A29" s="12" t="s">
        <v>81</v>
      </c>
      <c r="B29" s="14">
        <f>AVERAGE(H12:H21)</f>
        <v>212.67815000000002</v>
      </c>
      <c r="C29" s="9" t="s">
        <v>82</v>
      </c>
      <c r="D29" s="8"/>
      <c r="E29" s="8"/>
      <c r="F29" s="8"/>
      <c r="G29" s="8"/>
      <c r="H29" s="8"/>
      <c r="I29" s="8"/>
      <c r="J29" s="8"/>
      <c r="K29" s="8"/>
      <c r="L29" s="8"/>
      <c r="M29" s="8"/>
      <c r="N29" s="8"/>
      <c r="O29" s="8"/>
      <c r="P29" s="8"/>
      <c r="Q29" s="8"/>
      <c r="R29" s="8"/>
      <c r="S29" s="8"/>
      <c r="T29" s="8"/>
      <c r="U29" s="8"/>
    </row>
    <row r="30" spans="1:21" ht="15">
      <c r="A30" s="12" t="s">
        <v>83</v>
      </c>
      <c r="B30" s="14">
        <f>MIN(H12:H21)</f>
        <v>110.25</v>
      </c>
      <c r="C30" s="9" t="s">
        <v>84</v>
      </c>
      <c r="D30" s="8"/>
      <c r="E30" s="8"/>
      <c r="F30" s="8"/>
      <c r="G30" s="8"/>
      <c r="H30" s="8"/>
      <c r="I30" s="8"/>
      <c r="J30" s="8"/>
      <c r="K30" s="8"/>
      <c r="L30" s="8"/>
      <c r="M30" s="8"/>
      <c r="N30" s="8"/>
      <c r="O30" s="8"/>
      <c r="P30" s="8"/>
      <c r="Q30" s="8"/>
      <c r="R30" s="8"/>
      <c r="S30" s="8"/>
      <c r="T30" s="8"/>
      <c r="U30" s="8"/>
    </row>
    <row r="31" spans="1:21" ht="15">
      <c r="A31" s="12" t="s">
        <v>85</v>
      </c>
      <c r="B31" s="14">
        <f>MAX(H12:H21)</f>
        <v>279.95999999999998</v>
      </c>
      <c r="C31" s="9" t="s">
        <v>86</v>
      </c>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5:C25"/>
    <mergeCell ref="A1:R1"/>
    <mergeCell ref="A3:R4"/>
    <mergeCell ref="A6:R6"/>
    <mergeCell ref="A7:R8"/>
    <mergeCell ref="A9:R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0"/>
  <sheetViews>
    <sheetView workbookViewId="0">
      <selection activeCell="F25" sqref="F25"/>
    </sheetView>
  </sheetViews>
  <sheetFormatPr baseColWidth="10" defaultColWidth="8.83203125" defaultRowHeight="14"/>
  <cols>
    <col min="1" max="1" width="23.6640625" bestFit="1" customWidth="1"/>
    <col min="2" max="2" width="22" customWidth="1"/>
    <col min="3" max="4" width="13" customWidth="1"/>
    <col min="5" max="6" width="16" customWidth="1"/>
    <col min="7" max="9" width="12" customWidth="1"/>
    <col min="10" max="10" width="11" customWidth="1"/>
    <col min="11" max="11" width="10" customWidth="1"/>
    <col min="12" max="12" width="13" customWidth="1"/>
    <col min="13" max="14" width="15" customWidth="1"/>
    <col min="15" max="15" width="14" customWidth="1"/>
  </cols>
  <sheetData>
    <row r="1" spans="1:21" ht="37.25" customHeight="1">
      <c r="A1" s="22" t="s">
        <v>89</v>
      </c>
      <c r="B1" s="22"/>
      <c r="C1" s="22"/>
      <c r="D1" s="22"/>
      <c r="E1" s="22"/>
      <c r="F1" s="22"/>
      <c r="G1" s="22"/>
      <c r="H1" s="22"/>
      <c r="I1" s="22"/>
      <c r="J1" s="22"/>
      <c r="K1" s="22"/>
      <c r="L1" s="22"/>
      <c r="M1" s="22"/>
      <c r="N1" s="22"/>
      <c r="O1" s="22"/>
      <c r="P1" s="8"/>
      <c r="Q1" s="8"/>
      <c r="R1" s="8"/>
      <c r="S1" s="8"/>
      <c r="T1" s="8"/>
      <c r="U1" s="8"/>
    </row>
    <row r="2" spans="1:21">
      <c r="A2" s="8"/>
      <c r="B2" s="8"/>
      <c r="C2" s="8"/>
      <c r="D2" s="8"/>
      <c r="E2" s="8"/>
      <c r="F2" s="8"/>
      <c r="G2" s="8"/>
      <c r="H2" s="8"/>
      <c r="I2" s="8"/>
      <c r="J2" s="8"/>
      <c r="K2" s="8"/>
      <c r="L2" s="8"/>
      <c r="M2" s="8"/>
      <c r="N2" s="8"/>
      <c r="O2" s="8"/>
      <c r="P2" s="8"/>
      <c r="Q2" s="8"/>
      <c r="R2" s="8"/>
      <c r="S2" s="8"/>
      <c r="T2" s="8"/>
      <c r="U2" s="8"/>
    </row>
    <row r="3" spans="1:21" ht="29.25" customHeight="1">
      <c r="A3" s="23" t="s">
        <v>90</v>
      </c>
      <c r="B3" s="23"/>
      <c r="C3" s="23"/>
      <c r="D3" s="23"/>
      <c r="E3" s="23"/>
      <c r="F3" s="23"/>
      <c r="G3" s="23"/>
      <c r="H3" s="23"/>
      <c r="I3" s="23"/>
      <c r="J3" s="23"/>
      <c r="K3" s="23"/>
      <c r="L3" s="23"/>
      <c r="M3" s="23"/>
      <c r="N3" s="23"/>
      <c r="O3" s="23"/>
      <c r="P3" s="8"/>
      <c r="Q3" s="8"/>
      <c r="R3" s="8"/>
      <c r="S3" s="8"/>
      <c r="T3" s="8"/>
      <c r="U3" s="8"/>
    </row>
    <row r="4" spans="1:21">
      <c r="A4" s="23"/>
      <c r="B4" s="23"/>
      <c r="C4" s="23"/>
      <c r="D4" s="23"/>
      <c r="E4" s="23"/>
      <c r="F4" s="23"/>
      <c r="G4" s="23"/>
      <c r="H4" s="23"/>
      <c r="I4" s="23"/>
      <c r="J4" s="23"/>
      <c r="K4" s="23"/>
      <c r="L4" s="23"/>
      <c r="M4" s="23"/>
      <c r="N4" s="23"/>
      <c r="O4" s="23"/>
      <c r="P4" s="8"/>
      <c r="Q4" s="8"/>
      <c r="R4" s="8"/>
      <c r="S4" s="8"/>
      <c r="T4" s="8"/>
      <c r="U4" s="8"/>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8"/>
      <c r="Q6" s="8"/>
      <c r="R6" s="8"/>
      <c r="S6" s="8"/>
      <c r="T6" s="8"/>
      <c r="U6" s="8"/>
    </row>
    <row r="7" spans="1:21" ht="32" customHeight="1">
      <c r="A7" s="25" t="s">
        <v>91</v>
      </c>
      <c r="B7" s="25"/>
      <c r="C7" s="25"/>
      <c r="D7" s="25"/>
      <c r="E7" s="25"/>
      <c r="F7" s="25"/>
      <c r="G7" s="25"/>
      <c r="H7" s="25"/>
      <c r="I7" s="25"/>
      <c r="J7" s="25"/>
      <c r="K7" s="25"/>
      <c r="L7" s="25"/>
      <c r="M7" s="25"/>
      <c r="N7" s="25"/>
      <c r="O7" s="25"/>
      <c r="P7" s="8"/>
      <c r="Q7" s="8"/>
      <c r="R7" s="8"/>
      <c r="S7" s="8"/>
      <c r="T7" s="8"/>
      <c r="U7" s="8"/>
    </row>
    <row r="8" spans="1:21">
      <c r="A8" s="25"/>
      <c r="B8" s="25"/>
      <c r="C8" s="25"/>
      <c r="D8" s="25"/>
      <c r="E8" s="25"/>
      <c r="F8" s="25"/>
      <c r="G8" s="25"/>
      <c r="H8" s="25"/>
      <c r="I8" s="25"/>
      <c r="J8" s="25"/>
      <c r="K8" s="25"/>
      <c r="L8" s="25"/>
      <c r="M8" s="25"/>
      <c r="N8" s="25"/>
      <c r="O8" s="25"/>
      <c r="P8" s="8"/>
      <c r="Q8" s="8"/>
      <c r="R8" s="8"/>
      <c r="S8" s="8"/>
      <c r="T8" s="8"/>
      <c r="U8" s="8"/>
    </row>
    <row r="9" spans="1:21">
      <c r="A9" s="26" t="s">
        <v>4</v>
      </c>
      <c r="B9" s="26"/>
      <c r="C9" s="26"/>
      <c r="D9" s="26"/>
      <c r="E9" s="26"/>
      <c r="F9" s="26"/>
      <c r="G9" s="26"/>
      <c r="H9" s="26"/>
      <c r="I9" s="26"/>
      <c r="J9" s="26"/>
      <c r="K9" s="26"/>
      <c r="L9" s="26"/>
      <c r="M9" s="26"/>
      <c r="N9" s="26"/>
      <c r="O9" s="26"/>
      <c r="P9" s="8"/>
      <c r="Q9" s="8"/>
      <c r="R9" s="8"/>
      <c r="S9" s="8"/>
      <c r="T9" s="8"/>
      <c r="U9" s="8"/>
    </row>
    <row r="10" spans="1:21">
      <c r="A10" s="12" t="s">
        <v>92</v>
      </c>
      <c r="B10" s="16"/>
      <c r="C10" s="8" t="s">
        <v>93</v>
      </c>
      <c r="D10" s="17"/>
      <c r="E10" s="8" t="s">
        <v>94</v>
      </c>
      <c r="F10" s="18"/>
      <c r="G10" s="8"/>
      <c r="H10" s="8"/>
      <c r="I10" s="8"/>
      <c r="J10" s="8"/>
      <c r="K10" s="8"/>
      <c r="L10" s="8"/>
      <c r="M10" s="8"/>
      <c r="N10" s="8"/>
      <c r="O10" s="8"/>
      <c r="P10" s="8"/>
      <c r="Q10" s="8"/>
      <c r="R10" s="8"/>
      <c r="S10" s="8"/>
      <c r="T10" s="8"/>
      <c r="U10" s="8"/>
    </row>
    <row r="11" spans="1:21">
      <c r="A11" s="8"/>
      <c r="B11" s="8"/>
      <c r="C11" s="8"/>
      <c r="D11" s="8"/>
      <c r="E11" s="8"/>
      <c r="F11" s="8"/>
      <c r="G11" s="8"/>
      <c r="H11" s="8"/>
      <c r="I11" s="8"/>
      <c r="J11" s="8"/>
      <c r="K11" s="8"/>
      <c r="L11" s="8"/>
      <c r="M11" s="8"/>
      <c r="N11" s="8"/>
      <c r="O11" s="8"/>
      <c r="P11" s="8"/>
      <c r="Q11" s="8"/>
      <c r="R11" s="8"/>
      <c r="S11" s="8"/>
      <c r="T11" s="8"/>
      <c r="U11" s="8"/>
    </row>
    <row r="12" spans="1:21" ht="45.25" customHeight="1">
      <c r="A12" s="1" t="s">
        <v>95</v>
      </c>
      <c r="B12" s="1" t="s">
        <v>96</v>
      </c>
      <c r="C12" s="1" t="s">
        <v>97</v>
      </c>
      <c r="D12" s="1" t="s">
        <v>98</v>
      </c>
      <c r="E12" s="1" t="s">
        <v>99</v>
      </c>
      <c r="F12" s="1" t="s">
        <v>100</v>
      </c>
      <c r="G12" s="1" t="s">
        <v>101</v>
      </c>
      <c r="H12" s="2" t="s">
        <v>102</v>
      </c>
      <c r="I12" s="2" t="s">
        <v>103</v>
      </c>
      <c r="J12" s="2" t="s">
        <v>104</v>
      </c>
      <c r="K12" s="2" t="s">
        <v>105</v>
      </c>
      <c r="L12" s="2" t="s">
        <v>106</v>
      </c>
      <c r="M12" s="2" t="s">
        <v>107</v>
      </c>
      <c r="N12" s="2" t="s">
        <v>108</v>
      </c>
      <c r="O12" s="2" t="s">
        <v>109</v>
      </c>
      <c r="P12" s="8"/>
      <c r="Q12" s="8"/>
      <c r="R12" s="8"/>
      <c r="S12" s="8"/>
      <c r="T12" s="8"/>
      <c r="U12" s="8"/>
    </row>
    <row r="13" spans="1:21" ht="15">
      <c r="A13" s="3" t="s">
        <v>110</v>
      </c>
      <c r="B13" s="3" t="s">
        <v>111</v>
      </c>
      <c r="C13" s="6">
        <v>46267</v>
      </c>
      <c r="D13" s="6">
        <v>46283</v>
      </c>
      <c r="E13" s="7">
        <v>0.34207175925925926</v>
      </c>
      <c r="F13" s="7">
        <v>0.71125000000000005</v>
      </c>
      <c r="G13" s="3">
        <v>92</v>
      </c>
      <c r="H13" s="11"/>
      <c r="I13" s="11"/>
      <c r="J13" s="11"/>
      <c r="K13" s="11"/>
      <c r="L13" s="11"/>
      <c r="M13" s="11"/>
      <c r="N13" s="11"/>
      <c r="O13" s="16"/>
      <c r="P13" s="8"/>
      <c r="Q13" s="8"/>
      <c r="R13" s="8"/>
      <c r="S13" s="8"/>
      <c r="T13" s="8"/>
      <c r="U13" s="8"/>
    </row>
    <row r="14" spans="1:21" ht="15">
      <c r="A14" s="3" t="s">
        <v>112</v>
      </c>
      <c r="B14" s="3" t="s">
        <v>113</v>
      </c>
      <c r="C14" s="6">
        <v>46272</v>
      </c>
      <c r="D14" s="6">
        <v>46297</v>
      </c>
      <c r="E14" s="7">
        <v>0.35358796296296297</v>
      </c>
      <c r="F14" s="7">
        <v>0.70745370370370375</v>
      </c>
      <c r="G14" s="3">
        <v>128</v>
      </c>
      <c r="H14" s="11"/>
      <c r="I14" s="11"/>
      <c r="J14" s="11"/>
      <c r="K14" s="11"/>
      <c r="L14" s="11"/>
      <c r="M14" s="11"/>
      <c r="N14" s="11"/>
      <c r="O14" s="16"/>
      <c r="P14" s="8"/>
      <c r="Q14" s="8"/>
      <c r="R14" s="8"/>
      <c r="S14" s="8"/>
      <c r="T14" s="8"/>
      <c r="U14" s="8"/>
    </row>
    <row r="15" spans="1:21" ht="15">
      <c r="A15" s="3" t="s">
        <v>114</v>
      </c>
      <c r="B15" s="3" t="s">
        <v>115</v>
      </c>
      <c r="C15" s="6">
        <v>46279</v>
      </c>
      <c r="D15" s="6">
        <v>46295</v>
      </c>
      <c r="E15" s="7">
        <v>0.33043981481481483</v>
      </c>
      <c r="F15" s="7">
        <v>0.71606481481481477</v>
      </c>
      <c r="G15" s="3">
        <v>84</v>
      </c>
      <c r="H15" s="11"/>
      <c r="I15" s="11"/>
      <c r="J15" s="11"/>
      <c r="K15" s="11"/>
      <c r="L15" s="11"/>
      <c r="M15" s="11"/>
      <c r="N15" s="11"/>
      <c r="O15" s="16"/>
      <c r="P15" s="8"/>
      <c r="Q15" s="8"/>
      <c r="R15" s="8"/>
      <c r="S15" s="8"/>
      <c r="T15" s="8"/>
      <c r="U15" s="8"/>
    </row>
    <row r="16" spans="1:21" ht="15">
      <c r="A16" s="3" t="s">
        <v>116</v>
      </c>
      <c r="B16" s="3" t="s">
        <v>117</v>
      </c>
      <c r="C16" s="6">
        <v>46286</v>
      </c>
      <c r="D16" s="6">
        <v>46311</v>
      </c>
      <c r="E16" s="7">
        <v>0.36475694444444445</v>
      </c>
      <c r="F16" s="7">
        <v>0.75181712962962965</v>
      </c>
      <c r="G16" s="3">
        <v>141</v>
      </c>
      <c r="H16" s="11"/>
      <c r="I16" s="11"/>
      <c r="J16" s="11"/>
      <c r="K16" s="11"/>
      <c r="L16" s="11"/>
      <c r="M16" s="11"/>
      <c r="N16" s="11"/>
      <c r="O16" s="16"/>
      <c r="P16" s="8"/>
      <c r="Q16" s="8"/>
      <c r="R16" s="8"/>
      <c r="S16" s="8"/>
      <c r="T16" s="8"/>
      <c r="U16" s="8"/>
    </row>
    <row r="17" spans="1:21" ht="15">
      <c r="A17" s="3" t="s">
        <v>118</v>
      </c>
      <c r="B17" s="3" t="s">
        <v>119</v>
      </c>
      <c r="C17" s="6">
        <v>46296</v>
      </c>
      <c r="D17" s="6">
        <v>46318</v>
      </c>
      <c r="E17" s="7">
        <v>0.33775462962962965</v>
      </c>
      <c r="F17" s="7">
        <v>0.69998842592592592</v>
      </c>
      <c r="G17" s="3">
        <v>104</v>
      </c>
      <c r="H17" s="11"/>
      <c r="I17" s="11"/>
      <c r="J17" s="11"/>
      <c r="K17" s="11"/>
      <c r="L17" s="11"/>
      <c r="M17" s="11"/>
      <c r="N17" s="11"/>
      <c r="O17" s="16"/>
      <c r="P17" s="8"/>
      <c r="Q17" s="8"/>
      <c r="R17" s="8"/>
      <c r="S17" s="8"/>
      <c r="T17" s="8"/>
      <c r="U17" s="8"/>
    </row>
    <row r="18" spans="1:21" ht="15">
      <c r="A18" s="3" t="s">
        <v>120</v>
      </c>
      <c r="B18" s="3" t="s">
        <v>121</v>
      </c>
      <c r="C18" s="6">
        <v>46300</v>
      </c>
      <c r="D18" s="6">
        <v>46325</v>
      </c>
      <c r="E18" s="7">
        <v>0.35672453703703705</v>
      </c>
      <c r="F18" s="7">
        <v>0.72310185185185183</v>
      </c>
      <c r="G18" s="3">
        <v>136</v>
      </c>
      <c r="H18" s="11"/>
      <c r="I18" s="11"/>
      <c r="J18" s="11"/>
      <c r="K18" s="11"/>
      <c r="L18" s="11"/>
      <c r="M18" s="11"/>
      <c r="N18" s="11"/>
      <c r="O18" s="16"/>
      <c r="P18" s="8"/>
      <c r="Q18" s="8"/>
      <c r="R18" s="8"/>
      <c r="S18" s="8"/>
      <c r="T18" s="8"/>
      <c r="U18" s="8"/>
    </row>
    <row r="19" spans="1:21" ht="15">
      <c r="A19" s="3" t="s">
        <v>122</v>
      </c>
      <c r="B19" s="3" t="s">
        <v>123</v>
      </c>
      <c r="C19" s="6">
        <v>46307</v>
      </c>
      <c r="D19" s="6">
        <v>46332</v>
      </c>
      <c r="E19" s="7">
        <v>0.32505787037037037</v>
      </c>
      <c r="F19" s="7">
        <v>0.73101851851851851</v>
      </c>
      <c r="G19" s="3">
        <v>152</v>
      </c>
      <c r="H19" s="11"/>
      <c r="I19" s="11"/>
      <c r="J19" s="11"/>
      <c r="K19" s="11"/>
      <c r="L19" s="11"/>
      <c r="M19" s="11"/>
      <c r="N19" s="11"/>
      <c r="O19" s="16"/>
      <c r="P19" s="8"/>
      <c r="Q19" s="8"/>
      <c r="R19" s="8"/>
      <c r="S19" s="8"/>
      <c r="T19" s="8"/>
      <c r="U19" s="8"/>
    </row>
    <row r="20" spans="1:21" ht="15">
      <c r="A20" s="3" t="s">
        <v>124</v>
      </c>
      <c r="B20" s="3" t="s">
        <v>125</v>
      </c>
      <c r="C20" s="6">
        <v>46314</v>
      </c>
      <c r="D20" s="6">
        <v>46339</v>
      </c>
      <c r="E20" s="7">
        <v>0.34581018518518519</v>
      </c>
      <c r="F20" s="7">
        <v>0.70304398148148151</v>
      </c>
      <c r="G20" s="3">
        <v>119</v>
      </c>
      <c r="H20" s="11"/>
      <c r="I20" s="11"/>
      <c r="J20" s="11"/>
      <c r="K20" s="11"/>
      <c r="L20" s="11"/>
      <c r="M20" s="11"/>
      <c r="N20" s="11"/>
      <c r="O20" s="16"/>
      <c r="P20" s="8"/>
      <c r="Q20" s="8"/>
      <c r="R20" s="8"/>
      <c r="S20" s="8"/>
      <c r="T20" s="8"/>
      <c r="U20" s="8"/>
    </row>
    <row r="21" spans="1:21" ht="56" customHeight="1">
      <c r="A21" s="8"/>
      <c r="B21" s="8"/>
      <c r="C21" s="8"/>
      <c r="D21" s="8"/>
      <c r="E21" s="8"/>
      <c r="F21" s="8"/>
      <c r="G21" s="8"/>
      <c r="H21" s="9" t="s">
        <v>126</v>
      </c>
      <c r="I21" s="9" t="s">
        <v>127</v>
      </c>
      <c r="J21" s="9" t="s">
        <v>128</v>
      </c>
      <c r="K21" s="9" t="s">
        <v>129</v>
      </c>
      <c r="L21" s="9" t="s">
        <v>130</v>
      </c>
      <c r="M21" s="9" t="s">
        <v>131</v>
      </c>
      <c r="N21" s="9" t="s">
        <v>132</v>
      </c>
      <c r="O21" s="9" t="s">
        <v>133</v>
      </c>
      <c r="P21" s="8"/>
      <c r="Q21" s="8"/>
      <c r="R21" s="8"/>
      <c r="S21" s="8"/>
      <c r="T21" s="8"/>
      <c r="U21" s="8"/>
    </row>
    <row r="22" spans="1:21">
      <c r="A22" s="8"/>
      <c r="B22" s="8"/>
      <c r="C22" s="8"/>
      <c r="D22" s="8"/>
      <c r="E22" s="8"/>
      <c r="F22" s="8"/>
      <c r="G22" s="8"/>
      <c r="H22" s="8"/>
      <c r="I22" s="8"/>
      <c r="J22" s="8"/>
      <c r="K22" s="8"/>
      <c r="L22" s="8"/>
      <c r="M22" s="8"/>
      <c r="N22" s="8"/>
      <c r="O22" s="8"/>
      <c r="P22" s="8"/>
      <c r="Q22" s="8"/>
      <c r="R22" s="8"/>
      <c r="S22" s="8"/>
      <c r="T22" s="8"/>
      <c r="U22" s="8"/>
    </row>
    <row r="23" spans="1:21">
      <c r="A23" s="8"/>
      <c r="B23" s="8"/>
      <c r="C23" s="8"/>
      <c r="D23" s="8"/>
      <c r="E23" s="8"/>
      <c r="F23" s="8"/>
      <c r="G23" s="8"/>
      <c r="H23" s="8"/>
      <c r="I23" s="8"/>
      <c r="J23" s="8"/>
      <c r="K23" s="8"/>
      <c r="L23" s="8"/>
      <c r="M23" s="8"/>
      <c r="N23" s="8"/>
      <c r="O23" s="8"/>
      <c r="P23" s="8"/>
      <c r="Q23" s="8"/>
      <c r="R23" s="8"/>
      <c r="S23" s="8"/>
      <c r="T23" s="8"/>
      <c r="U23" s="8"/>
    </row>
    <row r="24" spans="1:21">
      <c r="A24" s="24" t="s">
        <v>74</v>
      </c>
      <c r="B24" s="24"/>
      <c r="C24" s="24"/>
      <c r="D24" s="8"/>
      <c r="E24" s="8"/>
      <c r="F24" s="8"/>
      <c r="G24" s="8"/>
      <c r="H24" s="8"/>
      <c r="I24" s="8"/>
      <c r="J24" s="8"/>
      <c r="K24" s="8"/>
      <c r="L24" s="8"/>
      <c r="M24" s="8"/>
      <c r="N24" s="8"/>
      <c r="O24" s="8"/>
      <c r="P24" s="8"/>
      <c r="Q24" s="8"/>
      <c r="R24" s="8"/>
      <c r="S24" s="8"/>
      <c r="T24" s="8"/>
      <c r="U24" s="8"/>
    </row>
    <row r="25" spans="1:21" ht="30">
      <c r="A25" s="12" t="s">
        <v>134</v>
      </c>
      <c r="B25" s="19"/>
      <c r="C25" s="9" t="s">
        <v>135</v>
      </c>
      <c r="D25" s="8"/>
      <c r="E25" s="8"/>
      <c r="F25" s="8"/>
      <c r="G25" s="8"/>
      <c r="H25" s="8"/>
      <c r="I25" s="8"/>
      <c r="J25" s="8"/>
      <c r="K25" s="8"/>
      <c r="L25" s="8"/>
      <c r="M25" s="8"/>
      <c r="N25" s="8"/>
      <c r="O25" s="8"/>
      <c r="P25" s="8"/>
      <c r="Q25" s="8"/>
      <c r="R25" s="8"/>
      <c r="S25" s="8"/>
      <c r="T25" s="8"/>
      <c r="U25" s="8"/>
    </row>
    <row r="26" spans="1:21" ht="45">
      <c r="A26" s="12" t="s">
        <v>136</v>
      </c>
      <c r="B26" s="19"/>
      <c r="C26" s="9" t="s">
        <v>137</v>
      </c>
      <c r="D26" s="8"/>
      <c r="E26" s="8"/>
      <c r="F26" s="8"/>
      <c r="G26" s="8"/>
      <c r="H26" s="8"/>
      <c r="I26" s="8"/>
      <c r="J26" s="8"/>
      <c r="K26" s="8"/>
      <c r="L26" s="8"/>
      <c r="M26" s="8"/>
      <c r="N26" s="8"/>
      <c r="O26" s="8"/>
      <c r="P26" s="8"/>
      <c r="Q26" s="8"/>
      <c r="R26" s="8"/>
      <c r="S26" s="8"/>
      <c r="T26" s="8"/>
      <c r="U26" s="8"/>
    </row>
    <row r="27" spans="1:21" ht="45">
      <c r="A27" s="12" t="s">
        <v>138</v>
      </c>
      <c r="B27" s="19"/>
      <c r="C27" s="9" t="s">
        <v>139</v>
      </c>
      <c r="D27" s="8"/>
      <c r="E27" s="8"/>
      <c r="F27" s="8"/>
      <c r="G27" s="8"/>
      <c r="H27" s="8"/>
      <c r="I27" s="8"/>
      <c r="J27" s="8"/>
      <c r="K27" s="8"/>
      <c r="L27" s="8"/>
      <c r="M27" s="8"/>
      <c r="N27" s="8"/>
      <c r="O27" s="8"/>
      <c r="P27" s="8"/>
      <c r="Q27" s="8"/>
      <c r="R27" s="8"/>
      <c r="S27" s="8"/>
      <c r="T27" s="8"/>
      <c r="U27" s="8"/>
    </row>
    <row r="28" spans="1:21" ht="30">
      <c r="A28" s="12" t="s">
        <v>140</v>
      </c>
      <c r="B28" s="19"/>
      <c r="C28" s="9" t="s">
        <v>141</v>
      </c>
      <c r="D28" s="8"/>
      <c r="E28" s="8"/>
      <c r="F28" s="8"/>
      <c r="G28" s="8"/>
      <c r="H28" s="8"/>
      <c r="I28" s="8"/>
      <c r="J28" s="8"/>
      <c r="K28" s="8"/>
      <c r="L28" s="8"/>
      <c r="M28" s="8"/>
      <c r="N28" s="8"/>
      <c r="O28" s="8"/>
      <c r="P28" s="8"/>
      <c r="Q28" s="8"/>
      <c r="R28" s="8"/>
      <c r="S28" s="8"/>
      <c r="T28" s="8"/>
      <c r="U28" s="8"/>
    </row>
    <row r="29" spans="1:21" ht="30">
      <c r="A29" s="12" t="s">
        <v>142</v>
      </c>
      <c r="B29" s="19"/>
      <c r="C29" s="9" t="s">
        <v>143</v>
      </c>
      <c r="D29" s="8"/>
      <c r="E29" s="8"/>
      <c r="F29" s="8"/>
      <c r="G29" s="8"/>
      <c r="H29" s="8"/>
      <c r="I29" s="8"/>
      <c r="J29" s="8"/>
      <c r="K29" s="8"/>
      <c r="L29" s="8"/>
      <c r="M29" s="8"/>
      <c r="N29" s="8"/>
      <c r="O29" s="8"/>
      <c r="P29" s="8"/>
      <c r="Q29" s="8"/>
      <c r="R29" s="8"/>
      <c r="S29" s="8"/>
      <c r="T29" s="8"/>
      <c r="U29" s="8"/>
    </row>
    <row r="30" spans="1:21">
      <c r="A30" s="8"/>
      <c r="B30" s="8"/>
      <c r="C30" s="8"/>
      <c r="D30" s="8"/>
      <c r="E30" s="8"/>
      <c r="F30" s="8"/>
      <c r="G30" s="8"/>
      <c r="H30" s="8"/>
      <c r="I30" s="8"/>
      <c r="J30" s="8"/>
      <c r="K30" s="8"/>
      <c r="L30" s="8"/>
      <c r="M30" s="8"/>
      <c r="N30" s="8"/>
      <c r="O30" s="8"/>
      <c r="P30" s="8"/>
      <c r="Q30" s="8"/>
      <c r="R30" s="8"/>
      <c r="S30" s="8"/>
      <c r="T30" s="8"/>
      <c r="U30" s="8"/>
    </row>
    <row r="31" spans="1:21">
      <c r="A31" s="8"/>
      <c r="B31" s="8"/>
      <c r="C31" s="8"/>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4:C24"/>
    <mergeCell ref="A1:O1"/>
    <mergeCell ref="A3:O4"/>
    <mergeCell ref="A6:O6"/>
    <mergeCell ref="A7:O8"/>
    <mergeCell ref="A9:O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0"/>
  <sheetViews>
    <sheetView workbookViewId="0">
      <selection activeCell="O15" sqref="O15"/>
    </sheetView>
  </sheetViews>
  <sheetFormatPr baseColWidth="10" defaultColWidth="8.83203125" defaultRowHeight="14"/>
  <cols>
    <col min="1" max="1" width="13" customWidth="1"/>
    <col min="2" max="2" width="22" customWidth="1"/>
    <col min="3" max="4" width="13" customWidth="1"/>
    <col min="5" max="6" width="16" customWidth="1"/>
    <col min="7" max="9" width="12" customWidth="1"/>
    <col min="10" max="10" width="11" customWidth="1"/>
    <col min="11" max="11" width="10" customWidth="1"/>
    <col min="12" max="12" width="13" customWidth="1"/>
    <col min="13" max="14" width="15" customWidth="1"/>
    <col min="15" max="15" width="14" customWidth="1"/>
  </cols>
  <sheetData>
    <row r="1" spans="1:21" ht="37.25" customHeight="1">
      <c r="A1" s="22" t="s">
        <v>144</v>
      </c>
      <c r="B1" s="22"/>
      <c r="C1" s="22"/>
      <c r="D1" s="22"/>
      <c r="E1" s="22"/>
      <c r="F1" s="22"/>
      <c r="G1" s="22"/>
      <c r="H1" s="22"/>
      <c r="I1" s="22"/>
      <c r="J1" s="22"/>
      <c r="K1" s="22"/>
      <c r="L1" s="22"/>
      <c r="M1" s="22"/>
      <c r="N1" s="22"/>
      <c r="O1" s="22"/>
      <c r="P1" s="8"/>
      <c r="Q1" s="8"/>
      <c r="R1" s="8"/>
      <c r="S1" s="8"/>
      <c r="T1" s="8"/>
      <c r="U1" s="8"/>
    </row>
    <row r="2" spans="1:21">
      <c r="A2" s="8"/>
      <c r="B2" s="8"/>
      <c r="C2" s="8"/>
      <c r="D2" s="8"/>
      <c r="E2" s="8"/>
      <c r="F2" s="8"/>
      <c r="G2" s="8"/>
      <c r="H2" s="8"/>
      <c r="I2" s="8"/>
      <c r="J2" s="8"/>
      <c r="K2" s="8"/>
      <c r="L2" s="8"/>
      <c r="M2" s="8"/>
      <c r="N2" s="8"/>
      <c r="O2" s="8"/>
      <c r="P2" s="8"/>
      <c r="Q2" s="8"/>
      <c r="R2" s="8"/>
      <c r="S2" s="8"/>
      <c r="T2" s="8"/>
      <c r="U2" s="8"/>
    </row>
    <row r="3" spans="1:21" ht="29.25" customHeight="1">
      <c r="A3" s="23" t="s">
        <v>90</v>
      </c>
      <c r="B3" s="23"/>
      <c r="C3" s="23"/>
      <c r="D3" s="23"/>
      <c r="E3" s="23"/>
      <c r="F3" s="23"/>
      <c r="G3" s="23"/>
      <c r="H3" s="23"/>
      <c r="I3" s="23"/>
      <c r="J3" s="23"/>
      <c r="K3" s="23"/>
      <c r="L3" s="23"/>
      <c r="M3" s="23"/>
      <c r="N3" s="23"/>
      <c r="O3" s="23"/>
      <c r="P3" s="8"/>
      <c r="Q3" s="8"/>
      <c r="R3" s="8"/>
      <c r="S3" s="8"/>
      <c r="T3" s="8"/>
      <c r="U3" s="8"/>
    </row>
    <row r="4" spans="1:21">
      <c r="A4" s="23"/>
      <c r="B4" s="23"/>
      <c r="C4" s="23"/>
      <c r="D4" s="23"/>
      <c r="E4" s="23"/>
      <c r="F4" s="23"/>
      <c r="G4" s="23"/>
      <c r="H4" s="23"/>
      <c r="I4" s="23"/>
      <c r="J4" s="23"/>
      <c r="K4" s="23"/>
      <c r="L4" s="23"/>
      <c r="M4" s="23"/>
      <c r="N4" s="23"/>
      <c r="O4" s="23"/>
      <c r="P4" s="8"/>
      <c r="Q4" s="8"/>
      <c r="R4" s="8"/>
      <c r="S4" s="8"/>
      <c r="T4" s="8"/>
      <c r="U4" s="8"/>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8"/>
      <c r="Q6" s="8"/>
      <c r="R6" s="8"/>
      <c r="S6" s="8"/>
      <c r="T6" s="8"/>
      <c r="U6" s="8"/>
    </row>
    <row r="7" spans="1:21" ht="32" customHeight="1">
      <c r="A7" s="25" t="s">
        <v>91</v>
      </c>
      <c r="B7" s="25"/>
      <c r="C7" s="25"/>
      <c r="D7" s="25"/>
      <c r="E7" s="25"/>
      <c r="F7" s="25"/>
      <c r="G7" s="25"/>
      <c r="H7" s="25"/>
      <c r="I7" s="25"/>
      <c r="J7" s="25"/>
      <c r="K7" s="25"/>
      <c r="L7" s="25"/>
      <c r="M7" s="25"/>
      <c r="N7" s="25"/>
      <c r="O7" s="25"/>
      <c r="P7" s="8"/>
      <c r="Q7" s="8"/>
      <c r="R7" s="8"/>
      <c r="S7" s="8"/>
      <c r="T7" s="8"/>
      <c r="U7" s="8"/>
    </row>
    <row r="8" spans="1:21">
      <c r="A8" s="25"/>
      <c r="B8" s="25"/>
      <c r="C8" s="25"/>
      <c r="D8" s="25"/>
      <c r="E8" s="25"/>
      <c r="F8" s="25"/>
      <c r="G8" s="25"/>
      <c r="H8" s="25"/>
      <c r="I8" s="25"/>
      <c r="J8" s="25"/>
      <c r="K8" s="25"/>
      <c r="L8" s="25"/>
      <c r="M8" s="25"/>
      <c r="N8" s="25"/>
      <c r="O8" s="25"/>
      <c r="P8" s="8"/>
      <c r="Q8" s="8"/>
      <c r="R8" s="8"/>
      <c r="S8" s="8"/>
      <c r="T8" s="8"/>
      <c r="U8" s="8"/>
    </row>
    <row r="9" spans="1:21" ht="15">
      <c r="A9" s="27" t="s">
        <v>88</v>
      </c>
      <c r="B9" s="27"/>
      <c r="C9" s="27"/>
      <c r="D9" s="27"/>
      <c r="E9" s="27"/>
      <c r="F9" s="27"/>
      <c r="G9" s="27"/>
      <c r="H9" s="27"/>
      <c r="I9" s="27"/>
      <c r="J9" s="27"/>
      <c r="K9" s="27"/>
      <c r="L9" s="27"/>
      <c r="M9" s="27"/>
      <c r="N9" s="27"/>
      <c r="O9" s="27"/>
      <c r="P9" s="8"/>
      <c r="Q9" s="8"/>
      <c r="R9" s="8"/>
      <c r="S9" s="8"/>
      <c r="T9" s="8"/>
      <c r="U9" s="8"/>
    </row>
    <row r="10" spans="1:21">
      <c r="A10" s="12" t="s">
        <v>92</v>
      </c>
      <c r="B10" s="20">
        <f ca="1">TODAY()</f>
        <v>46259</v>
      </c>
      <c r="C10" s="8" t="s">
        <v>93</v>
      </c>
      <c r="D10" s="17">
        <f ca="1">NOW()</f>
        <v>46259.554154861115</v>
      </c>
      <c r="E10" s="8" t="s">
        <v>94</v>
      </c>
      <c r="F10" s="18">
        <f>TIME(8,30,0)</f>
        <v>0.35416666666666669</v>
      </c>
      <c r="G10" s="8"/>
      <c r="H10" s="8"/>
      <c r="I10" s="8"/>
      <c r="J10" s="8"/>
      <c r="K10" s="8"/>
      <c r="L10" s="8"/>
      <c r="M10" s="8"/>
      <c r="N10" s="8"/>
      <c r="O10" s="8"/>
      <c r="P10" s="8"/>
      <c r="Q10" s="8"/>
      <c r="R10" s="8"/>
      <c r="S10" s="8"/>
      <c r="T10" s="8"/>
      <c r="U10" s="8"/>
    </row>
    <row r="11" spans="1:21">
      <c r="A11" s="8"/>
      <c r="B11" s="8"/>
      <c r="C11" s="8"/>
      <c r="D11" s="8"/>
      <c r="E11" s="8"/>
      <c r="F11" s="8"/>
      <c r="G11" s="8"/>
      <c r="H11" s="8"/>
      <c r="I11" s="8"/>
      <c r="J11" s="8"/>
      <c r="K11" s="8"/>
      <c r="L11" s="8"/>
      <c r="M11" s="8"/>
      <c r="N11" s="8"/>
      <c r="O11" s="8"/>
      <c r="P11" s="8"/>
      <c r="Q11" s="8"/>
      <c r="R11" s="8"/>
      <c r="S11" s="8"/>
      <c r="T11" s="8"/>
      <c r="U11" s="8"/>
    </row>
    <row r="12" spans="1:21" ht="45.25" customHeight="1">
      <c r="A12" s="1" t="s">
        <v>95</v>
      </c>
      <c r="B12" s="1" t="s">
        <v>96</v>
      </c>
      <c r="C12" s="1" t="s">
        <v>97</v>
      </c>
      <c r="D12" s="1" t="s">
        <v>98</v>
      </c>
      <c r="E12" s="1" t="s">
        <v>99</v>
      </c>
      <c r="F12" s="1" t="s">
        <v>100</v>
      </c>
      <c r="G12" s="1" t="s">
        <v>101</v>
      </c>
      <c r="H12" s="2" t="s">
        <v>102</v>
      </c>
      <c r="I12" s="2" t="s">
        <v>103</v>
      </c>
      <c r="J12" s="2" t="s">
        <v>104</v>
      </c>
      <c r="K12" s="2" t="s">
        <v>105</v>
      </c>
      <c r="L12" s="2" t="s">
        <v>106</v>
      </c>
      <c r="M12" s="2" t="s">
        <v>107</v>
      </c>
      <c r="N12" s="2" t="s">
        <v>108</v>
      </c>
      <c r="O12" s="2" t="s">
        <v>109</v>
      </c>
      <c r="P12" s="8"/>
      <c r="Q12" s="8"/>
      <c r="R12" s="8"/>
      <c r="S12" s="8"/>
      <c r="T12" s="8"/>
      <c r="U12" s="8"/>
    </row>
    <row r="13" spans="1:21" ht="15">
      <c r="A13" s="3" t="s">
        <v>110</v>
      </c>
      <c r="B13" s="3" t="s">
        <v>111</v>
      </c>
      <c r="C13" s="6">
        <v>46267</v>
      </c>
      <c r="D13" s="6">
        <v>46283</v>
      </c>
      <c r="E13" s="7">
        <v>0.34207175925925926</v>
      </c>
      <c r="F13" s="7">
        <v>0.71125000000000005</v>
      </c>
      <c r="G13" s="3">
        <v>92</v>
      </c>
      <c r="H13" s="12">
        <f t="shared" ref="H13:H20" si="0">NETWORKDAYS(C13,D13)</f>
        <v>13</v>
      </c>
      <c r="I13" s="12">
        <f t="shared" ref="I13:I20" si="1">MONTH(C13)</f>
        <v>9</v>
      </c>
      <c r="J13" s="12">
        <f t="shared" ref="J13:J20" si="2">YEAR(C13)</f>
        <v>2026</v>
      </c>
      <c r="K13" s="12">
        <f t="shared" ref="K13:K20" si="3">DAY(D13)</f>
        <v>18</v>
      </c>
      <c r="L13" s="12">
        <f t="shared" ref="L13:L20" si="4">HOUR(E13)</f>
        <v>8</v>
      </c>
      <c r="M13" s="12">
        <f t="shared" ref="M13:M20" si="5">MINUTE(E13)</f>
        <v>12</v>
      </c>
      <c r="N13" s="12">
        <f t="shared" ref="N13:N20" si="6">SECOND(F13)</f>
        <v>12</v>
      </c>
      <c r="O13" s="20">
        <f t="shared" ref="O13:O20" si="7">DATE(YEAR(D13),MONTH(D13)+1,5)</f>
        <v>46300</v>
      </c>
      <c r="P13" s="8"/>
      <c r="Q13" s="8"/>
      <c r="R13" s="8"/>
      <c r="S13" s="8"/>
      <c r="T13" s="8"/>
      <c r="U13" s="8"/>
    </row>
    <row r="14" spans="1:21" ht="15">
      <c r="A14" s="3" t="s">
        <v>112</v>
      </c>
      <c r="B14" s="3" t="s">
        <v>113</v>
      </c>
      <c r="C14" s="6">
        <v>46272</v>
      </c>
      <c r="D14" s="6">
        <v>46297</v>
      </c>
      <c r="E14" s="7">
        <v>0.35358796296296297</v>
      </c>
      <c r="F14" s="7">
        <v>0.70745370370370375</v>
      </c>
      <c r="G14" s="3">
        <v>128</v>
      </c>
      <c r="H14" s="12">
        <f t="shared" si="0"/>
        <v>20</v>
      </c>
      <c r="I14" s="12">
        <f t="shared" si="1"/>
        <v>9</v>
      </c>
      <c r="J14" s="12">
        <f t="shared" si="2"/>
        <v>2026</v>
      </c>
      <c r="K14" s="12">
        <f t="shared" si="3"/>
        <v>2</v>
      </c>
      <c r="L14" s="12">
        <f t="shared" si="4"/>
        <v>8</v>
      </c>
      <c r="M14" s="12">
        <f t="shared" si="5"/>
        <v>29</v>
      </c>
      <c r="N14" s="12">
        <f t="shared" si="6"/>
        <v>44</v>
      </c>
      <c r="O14" s="20">
        <f t="shared" si="7"/>
        <v>46331</v>
      </c>
      <c r="P14" s="8"/>
      <c r="Q14" s="8"/>
      <c r="R14" s="8"/>
      <c r="S14" s="8"/>
      <c r="T14" s="8"/>
      <c r="U14" s="8"/>
    </row>
    <row r="15" spans="1:21" ht="15">
      <c r="A15" s="3" t="s">
        <v>114</v>
      </c>
      <c r="B15" s="3" t="s">
        <v>115</v>
      </c>
      <c r="C15" s="6">
        <v>46279</v>
      </c>
      <c r="D15" s="6">
        <v>46295</v>
      </c>
      <c r="E15" s="7">
        <v>0.33043981481481483</v>
      </c>
      <c r="F15" s="7">
        <v>0.71606481481481477</v>
      </c>
      <c r="G15" s="3">
        <v>84</v>
      </c>
      <c r="H15" s="12">
        <f t="shared" si="0"/>
        <v>13</v>
      </c>
      <c r="I15" s="12">
        <f t="shared" si="1"/>
        <v>9</v>
      </c>
      <c r="J15" s="12">
        <f t="shared" si="2"/>
        <v>2026</v>
      </c>
      <c r="K15" s="12">
        <f t="shared" si="3"/>
        <v>30</v>
      </c>
      <c r="L15" s="12">
        <f t="shared" si="4"/>
        <v>7</v>
      </c>
      <c r="M15" s="12">
        <f t="shared" si="5"/>
        <v>55</v>
      </c>
      <c r="N15" s="12">
        <f t="shared" si="6"/>
        <v>8</v>
      </c>
      <c r="O15" s="20">
        <f t="shared" si="7"/>
        <v>46300</v>
      </c>
      <c r="P15" s="8"/>
      <c r="Q15" s="8"/>
      <c r="R15" s="8"/>
      <c r="S15" s="8"/>
      <c r="T15" s="8"/>
      <c r="U15" s="8"/>
    </row>
    <row r="16" spans="1:21" ht="15">
      <c r="A16" s="3" t="s">
        <v>116</v>
      </c>
      <c r="B16" s="3" t="s">
        <v>117</v>
      </c>
      <c r="C16" s="6">
        <v>46286</v>
      </c>
      <c r="D16" s="6">
        <v>46311</v>
      </c>
      <c r="E16" s="7">
        <v>0.36475694444444445</v>
      </c>
      <c r="F16" s="7">
        <v>0.75181712962962965</v>
      </c>
      <c r="G16" s="3">
        <v>141</v>
      </c>
      <c r="H16" s="12">
        <f t="shared" si="0"/>
        <v>20</v>
      </c>
      <c r="I16" s="12">
        <f t="shared" si="1"/>
        <v>9</v>
      </c>
      <c r="J16" s="12">
        <f t="shared" si="2"/>
        <v>2026</v>
      </c>
      <c r="K16" s="12">
        <f t="shared" si="3"/>
        <v>16</v>
      </c>
      <c r="L16" s="12">
        <f t="shared" si="4"/>
        <v>8</v>
      </c>
      <c r="M16" s="12">
        <f t="shared" si="5"/>
        <v>45</v>
      </c>
      <c r="N16" s="12">
        <f t="shared" si="6"/>
        <v>37</v>
      </c>
      <c r="O16" s="20">
        <f t="shared" si="7"/>
        <v>46331</v>
      </c>
      <c r="P16" s="8"/>
      <c r="Q16" s="8"/>
      <c r="R16" s="8"/>
      <c r="S16" s="8"/>
      <c r="T16" s="8"/>
      <c r="U16" s="8"/>
    </row>
    <row r="17" spans="1:21" ht="15">
      <c r="A17" s="3" t="s">
        <v>118</v>
      </c>
      <c r="B17" s="3" t="s">
        <v>119</v>
      </c>
      <c r="C17" s="6">
        <v>46296</v>
      </c>
      <c r="D17" s="6">
        <v>46318</v>
      </c>
      <c r="E17" s="7">
        <v>0.33775462962962965</v>
      </c>
      <c r="F17" s="7">
        <v>0.69998842592592592</v>
      </c>
      <c r="G17" s="3">
        <v>104</v>
      </c>
      <c r="H17" s="12">
        <f t="shared" si="0"/>
        <v>17</v>
      </c>
      <c r="I17" s="12">
        <f t="shared" si="1"/>
        <v>10</v>
      </c>
      <c r="J17" s="12">
        <f t="shared" si="2"/>
        <v>2026</v>
      </c>
      <c r="K17" s="12">
        <f t="shared" si="3"/>
        <v>23</v>
      </c>
      <c r="L17" s="12">
        <f t="shared" si="4"/>
        <v>8</v>
      </c>
      <c r="M17" s="12">
        <f t="shared" si="5"/>
        <v>6</v>
      </c>
      <c r="N17" s="12">
        <f t="shared" si="6"/>
        <v>59</v>
      </c>
      <c r="O17" s="20">
        <f t="shared" si="7"/>
        <v>46331</v>
      </c>
      <c r="P17" s="8"/>
      <c r="Q17" s="8"/>
      <c r="R17" s="8"/>
      <c r="S17" s="8"/>
      <c r="T17" s="8"/>
      <c r="U17" s="8"/>
    </row>
    <row r="18" spans="1:21" ht="15">
      <c r="A18" s="3" t="s">
        <v>120</v>
      </c>
      <c r="B18" s="3" t="s">
        <v>121</v>
      </c>
      <c r="C18" s="6">
        <v>46300</v>
      </c>
      <c r="D18" s="6">
        <v>46325</v>
      </c>
      <c r="E18" s="7">
        <v>0.35672453703703705</v>
      </c>
      <c r="F18" s="7">
        <v>0.72310185185185183</v>
      </c>
      <c r="G18" s="3">
        <v>136</v>
      </c>
      <c r="H18" s="12">
        <f t="shared" si="0"/>
        <v>20</v>
      </c>
      <c r="I18" s="12">
        <f t="shared" si="1"/>
        <v>10</v>
      </c>
      <c r="J18" s="12">
        <f t="shared" si="2"/>
        <v>2026</v>
      </c>
      <c r="K18" s="12">
        <f t="shared" si="3"/>
        <v>30</v>
      </c>
      <c r="L18" s="12">
        <f t="shared" si="4"/>
        <v>8</v>
      </c>
      <c r="M18" s="12">
        <f t="shared" si="5"/>
        <v>33</v>
      </c>
      <c r="N18" s="12">
        <f t="shared" si="6"/>
        <v>16</v>
      </c>
      <c r="O18" s="20">
        <f t="shared" si="7"/>
        <v>46331</v>
      </c>
      <c r="P18" s="8"/>
      <c r="Q18" s="8"/>
      <c r="R18" s="8"/>
      <c r="S18" s="8"/>
      <c r="T18" s="8"/>
      <c r="U18" s="8"/>
    </row>
    <row r="19" spans="1:21" ht="15">
      <c r="A19" s="3" t="s">
        <v>122</v>
      </c>
      <c r="B19" s="3" t="s">
        <v>123</v>
      </c>
      <c r="C19" s="6">
        <v>46307</v>
      </c>
      <c r="D19" s="6">
        <v>46332</v>
      </c>
      <c r="E19" s="7">
        <v>0.32505787037037037</v>
      </c>
      <c r="F19" s="7">
        <v>0.73101851851851851</v>
      </c>
      <c r="G19" s="3">
        <v>152</v>
      </c>
      <c r="H19" s="12">
        <f t="shared" si="0"/>
        <v>20</v>
      </c>
      <c r="I19" s="12">
        <f t="shared" si="1"/>
        <v>10</v>
      </c>
      <c r="J19" s="12">
        <f t="shared" si="2"/>
        <v>2026</v>
      </c>
      <c r="K19" s="12">
        <f t="shared" si="3"/>
        <v>6</v>
      </c>
      <c r="L19" s="12">
        <f t="shared" si="4"/>
        <v>7</v>
      </c>
      <c r="M19" s="12">
        <f t="shared" si="5"/>
        <v>48</v>
      </c>
      <c r="N19" s="12">
        <f t="shared" si="6"/>
        <v>40</v>
      </c>
      <c r="O19" s="20">
        <f t="shared" si="7"/>
        <v>46361</v>
      </c>
      <c r="P19" s="8"/>
      <c r="Q19" s="8"/>
      <c r="R19" s="8"/>
      <c r="S19" s="8"/>
      <c r="T19" s="8"/>
      <c r="U19" s="8"/>
    </row>
    <row r="20" spans="1:21" ht="15">
      <c r="A20" s="3" t="s">
        <v>124</v>
      </c>
      <c r="B20" s="3" t="s">
        <v>125</v>
      </c>
      <c r="C20" s="6">
        <v>46314</v>
      </c>
      <c r="D20" s="6">
        <v>46339</v>
      </c>
      <c r="E20" s="7">
        <v>0.34581018518518519</v>
      </c>
      <c r="F20" s="7">
        <v>0.70304398148148151</v>
      </c>
      <c r="G20" s="3">
        <v>119</v>
      </c>
      <c r="H20" s="12">
        <f t="shared" si="0"/>
        <v>20</v>
      </c>
      <c r="I20" s="12">
        <f t="shared" si="1"/>
        <v>10</v>
      </c>
      <c r="J20" s="12">
        <f t="shared" si="2"/>
        <v>2026</v>
      </c>
      <c r="K20" s="12">
        <f t="shared" si="3"/>
        <v>13</v>
      </c>
      <c r="L20" s="12">
        <f t="shared" si="4"/>
        <v>8</v>
      </c>
      <c r="M20" s="12">
        <f t="shared" si="5"/>
        <v>17</v>
      </c>
      <c r="N20" s="12">
        <f t="shared" si="6"/>
        <v>23</v>
      </c>
      <c r="O20" s="20">
        <f t="shared" si="7"/>
        <v>46361</v>
      </c>
      <c r="P20" s="8"/>
      <c r="Q20" s="8"/>
      <c r="R20" s="8"/>
      <c r="S20" s="8"/>
      <c r="T20" s="8"/>
      <c r="U20" s="8"/>
    </row>
    <row r="21" spans="1:21" ht="56" customHeight="1">
      <c r="A21" s="8"/>
      <c r="B21" s="8"/>
      <c r="C21" s="8"/>
      <c r="D21" s="8"/>
      <c r="E21" s="8"/>
      <c r="F21" s="8"/>
      <c r="G21" s="8"/>
      <c r="H21" s="9" t="s">
        <v>126</v>
      </c>
      <c r="I21" s="9" t="s">
        <v>127</v>
      </c>
      <c r="J21" s="9" t="s">
        <v>128</v>
      </c>
      <c r="K21" s="9" t="s">
        <v>129</v>
      </c>
      <c r="L21" s="9" t="s">
        <v>130</v>
      </c>
      <c r="M21" s="9" t="s">
        <v>131</v>
      </c>
      <c r="N21" s="9" t="s">
        <v>132</v>
      </c>
      <c r="O21" s="9" t="s">
        <v>133</v>
      </c>
      <c r="P21" s="8"/>
      <c r="Q21" s="8"/>
      <c r="R21" s="8"/>
      <c r="S21" s="8"/>
      <c r="T21" s="8"/>
      <c r="U21" s="8"/>
    </row>
    <row r="22" spans="1:21">
      <c r="A22" s="8"/>
      <c r="B22" s="8"/>
      <c r="C22" s="8"/>
      <c r="D22" s="8"/>
      <c r="E22" s="8"/>
      <c r="F22" s="8"/>
      <c r="G22" s="8"/>
      <c r="H22" s="8"/>
      <c r="I22" s="8"/>
      <c r="J22" s="8"/>
      <c r="K22" s="8"/>
      <c r="L22" s="8"/>
      <c r="M22" s="8"/>
      <c r="N22" s="8"/>
      <c r="O22" s="8"/>
      <c r="P22" s="8"/>
      <c r="Q22" s="8"/>
      <c r="R22" s="8"/>
      <c r="S22" s="8"/>
      <c r="T22" s="8"/>
      <c r="U22" s="8"/>
    </row>
    <row r="23" spans="1:21">
      <c r="A23" s="8"/>
      <c r="B23" s="8"/>
      <c r="C23" s="8"/>
      <c r="D23" s="8"/>
      <c r="E23" s="8"/>
      <c r="F23" s="8"/>
      <c r="G23" s="8"/>
      <c r="H23" s="8"/>
      <c r="I23" s="8"/>
      <c r="J23" s="8"/>
      <c r="K23" s="8"/>
      <c r="L23" s="8"/>
      <c r="M23" s="8"/>
      <c r="N23" s="8"/>
      <c r="O23" s="8"/>
      <c r="P23" s="8"/>
      <c r="Q23" s="8"/>
      <c r="R23" s="8"/>
      <c r="S23" s="8"/>
      <c r="T23" s="8"/>
      <c r="U23" s="8"/>
    </row>
    <row r="24" spans="1:21">
      <c r="A24" s="24" t="s">
        <v>74</v>
      </c>
      <c r="B24" s="24"/>
      <c r="C24" s="24"/>
      <c r="D24" s="8"/>
      <c r="E24" s="8"/>
      <c r="F24" s="8"/>
      <c r="G24" s="8"/>
      <c r="H24" s="8"/>
      <c r="I24" s="8"/>
      <c r="J24" s="8"/>
      <c r="K24" s="8"/>
      <c r="L24" s="8"/>
      <c r="M24" s="8"/>
      <c r="N24" s="8"/>
      <c r="O24" s="8"/>
      <c r="P24" s="8"/>
      <c r="Q24" s="8"/>
      <c r="R24" s="8"/>
      <c r="S24" s="8"/>
      <c r="T24" s="8"/>
      <c r="U24" s="8"/>
    </row>
    <row r="25" spans="1:21" ht="30">
      <c r="A25" s="12" t="s">
        <v>134</v>
      </c>
      <c r="B25" s="21">
        <f>SUM(G13:G20)</f>
        <v>956</v>
      </c>
      <c r="C25" s="9" t="s">
        <v>135</v>
      </c>
      <c r="D25" s="8"/>
      <c r="E25" s="8"/>
      <c r="F25" s="8"/>
      <c r="G25" s="8"/>
      <c r="H25" s="8"/>
      <c r="I25" s="8"/>
      <c r="J25" s="8"/>
      <c r="K25" s="8"/>
      <c r="L25" s="8"/>
      <c r="M25" s="8"/>
      <c r="N25" s="8"/>
      <c r="O25" s="8"/>
      <c r="P25" s="8"/>
      <c r="Q25" s="8"/>
      <c r="R25" s="8"/>
      <c r="S25" s="8"/>
      <c r="T25" s="8"/>
      <c r="U25" s="8"/>
    </row>
    <row r="26" spans="1:21" ht="45">
      <c r="A26" s="12" t="s">
        <v>136</v>
      </c>
      <c r="B26" s="21">
        <f>COUNT(G13:G20)</f>
        <v>8</v>
      </c>
      <c r="C26" s="9" t="s">
        <v>137</v>
      </c>
      <c r="D26" s="8"/>
      <c r="E26" s="8"/>
      <c r="F26" s="8"/>
      <c r="G26" s="8"/>
      <c r="H26" s="8"/>
      <c r="I26" s="8"/>
      <c r="J26" s="8"/>
      <c r="K26" s="8"/>
      <c r="L26" s="8"/>
      <c r="M26" s="8"/>
      <c r="N26" s="8"/>
      <c r="O26" s="8"/>
      <c r="P26" s="8"/>
      <c r="Q26" s="8"/>
      <c r="R26" s="8"/>
      <c r="S26" s="8"/>
      <c r="T26" s="8"/>
      <c r="U26" s="8"/>
    </row>
    <row r="27" spans="1:21" ht="45">
      <c r="A27" s="12" t="s">
        <v>138</v>
      </c>
      <c r="B27" s="21">
        <f>AVERAGE(G13:G20)</f>
        <v>119.5</v>
      </c>
      <c r="C27" s="9" t="s">
        <v>139</v>
      </c>
      <c r="D27" s="8"/>
      <c r="E27" s="8"/>
      <c r="F27" s="8"/>
      <c r="G27" s="8"/>
      <c r="H27" s="8"/>
      <c r="I27" s="8"/>
      <c r="J27" s="8"/>
      <c r="K27" s="8"/>
      <c r="L27" s="8"/>
      <c r="M27" s="8"/>
      <c r="N27" s="8"/>
      <c r="O27" s="8"/>
      <c r="P27" s="8"/>
      <c r="Q27" s="8"/>
      <c r="R27" s="8"/>
      <c r="S27" s="8"/>
      <c r="T27" s="8"/>
      <c r="U27" s="8"/>
    </row>
    <row r="28" spans="1:21" ht="30">
      <c r="A28" s="12" t="s">
        <v>140</v>
      </c>
      <c r="B28" s="21">
        <f>MIN(G13:G20)</f>
        <v>84</v>
      </c>
      <c r="C28" s="9" t="s">
        <v>141</v>
      </c>
      <c r="D28" s="8"/>
      <c r="E28" s="8"/>
      <c r="F28" s="8"/>
      <c r="G28" s="8"/>
      <c r="H28" s="8"/>
      <c r="I28" s="8"/>
      <c r="J28" s="8"/>
      <c r="K28" s="8"/>
      <c r="L28" s="8"/>
      <c r="M28" s="8"/>
      <c r="N28" s="8"/>
      <c r="O28" s="8"/>
      <c r="P28" s="8"/>
      <c r="Q28" s="8"/>
      <c r="R28" s="8"/>
      <c r="S28" s="8"/>
      <c r="T28" s="8"/>
      <c r="U28" s="8"/>
    </row>
    <row r="29" spans="1:21" ht="30">
      <c r="A29" s="12" t="s">
        <v>142</v>
      </c>
      <c r="B29" s="21">
        <f>MAX(G13:G20)</f>
        <v>152</v>
      </c>
      <c r="C29" s="9" t="s">
        <v>143</v>
      </c>
      <c r="D29" s="8"/>
      <c r="E29" s="8"/>
      <c r="F29" s="8"/>
      <c r="G29" s="8"/>
      <c r="H29" s="8"/>
      <c r="I29" s="8"/>
      <c r="J29" s="8"/>
      <c r="K29" s="8"/>
      <c r="L29" s="8"/>
      <c r="M29" s="8"/>
      <c r="N29" s="8"/>
      <c r="O29" s="8"/>
      <c r="P29" s="8"/>
      <c r="Q29" s="8"/>
      <c r="R29" s="8"/>
      <c r="S29" s="8"/>
      <c r="T29" s="8"/>
      <c r="U29" s="8"/>
    </row>
    <row r="30" spans="1:21">
      <c r="A30" s="8"/>
      <c r="B30" s="8"/>
      <c r="C30" s="8"/>
      <c r="D30" s="8"/>
      <c r="E30" s="8"/>
      <c r="F30" s="8"/>
      <c r="G30" s="8"/>
      <c r="H30" s="8"/>
      <c r="I30" s="8"/>
      <c r="J30" s="8"/>
      <c r="K30" s="8"/>
      <c r="L30" s="8"/>
      <c r="M30" s="8"/>
      <c r="N30" s="8"/>
      <c r="O30" s="8"/>
      <c r="P30" s="8"/>
      <c r="Q30" s="8"/>
      <c r="R30" s="8"/>
      <c r="S30" s="8"/>
      <c r="T30" s="8"/>
      <c r="U30" s="8"/>
    </row>
    <row r="31" spans="1:21">
      <c r="A31" s="8"/>
      <c r="B31" s="8"/>
      <c r="C31" s="8"/>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4:C24"/>
    <mergeCell ref="A1:O1"/>
    <mergeCell ref="A3:O4"/>
    <mergeCell ref="A6:O6"/>
    <mergeCell ref="A7:O8"/>
    <mergeCell ref="A9:O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0"/>
  <sheetViews>
    <sheetView workbookViewId="0">
      <selection sqref="A1:U1"/>
    </sheetView>
  </sheetViews>
  <sheetFormatPr baseColWidth="10" defaultColWidth="8.83203125" defaultRowHeight="14"/>
  <cols>
    <col min="1" max="1" width="19" customWidth="1"/>
    <col min="2" max="2" width="25" customWidth="1"/>
    <col min="3" max="3" width="28" customWidth="1"/>
    <col min="4" max="5" width="13" customWidth="1"/>
    <col min="6" max="6" width="14" customWidth="1"/>
    <col min="7" max="7" width="15" customWidth="1"/>
    <col min="8" max="8" width="12" customWidth="1"/>
    <col min="9" max="9" width="11" customWidth="1"/>
    <col min="10" max="10" width="10" customWidth="1"/>
    <col min="11" max="11" width="13" customWidth="1"/>
    <col min="12" max="12" width="11" customWidth="1"/>
    <col min="13" max="13" width="26" customWidth="1"/>
    <col min="14" max="14" width="16" customWidth="1"/>
    <col min="15" max="15" width="19" customWidth="1"/>
    <col min="16" max="16" width="12" customWidth="1"/>
    <col min="17" max="17" width="10" customWidth="1"/>
    <col min="18" max="18" width="13" customWidth="1"/>
    <col min="19" max="19" width="12" customWidth="1"/>
    <col min="20" max="20" width="15" customWidth="1"/>
    <col min="21" max="21" width="14" customWidth="1"/>
  </cols>
  <sheetData>
    <row r="1" spans="1:21" ht="37.25" customHeight="1">
      <c r="A1" s="22" t="s">
        <v>145</v>
      </c>
      <c r="B1" s="22"/>
      <c r="C1" s="22"/>
      <c r="D1" s="22"/>
      <c r="E1" s="22"/>
      <c r="F1" s="22"/>
      <c r="G1" s="22"/>
      <c r="H1" s="22"/>
      <c r="I1" s="22"/>
      <c r="J1" s="22"/>
      <c r="K1" s="22"/>
      <c r="L1" s="22"/>
      <c r="M1" s="22"/>
      <c r="N1" s="22"/>
      <c r="O1" s="22"/>
      <c r="P1" s="22"/>
      <c r="Q1" s="22"/>
      <c r="R1" s="22"/>
      <c r="S1" s="22"/>
      <c r="T1" s="22"/>
      <c r="U1" s="22"/>
    </row>
    <row r="2" spans="1:21">
      <c r="A2" s="8"/>
      <c r="B2" s="8"/>
      <c r="C2" s="8"/>
      <c r="D2" s="8"/>
      <c r="E2" s="8"/>
      <c r="F2" s="8"/>
      <c r="G2" s="8"/>
      <c r="H2" s="8"/>
      <c r="I2" s="8"/>
      <c r="J2" s="8"/>
      <c r="K2" s="8"/>
      <c r="L2" s="8"/>
      <c r="M2" s="8"/>
      <c r="N2" s="8"/>
      <c r="O2" s="8"/>
      <c r="P2" s="8"/>
      <c r="Q2" s="8"/>
      <c r="R2" s="8"/>
      <c r="S2" s="8"/>
      <c r="T2" s="8"/>
      <c r="U2" s="8"/>
    </row>
    <row r="3" spans="1:21" ht="29.25" customHeight="1">
      <c r="A3" s="23" t="s">
        <v>146</v>
      </c>
      <c r="B3" s="23"/>
      <c r="C3" s="23"/>
      <c r="D3" s="23"/>
      <c r="E3" s="23"/>
      <c r="F3" s="23"/>
      <c r="G3" s="23"/>
      <c r="H3" s="23"/>
      <c r="I3" s="23"/>
      <c r="J3" s="23"/>
      <c r="K3" s="23"/>
      <c r="L3" s="23"/>
      <c r="M3" s="23"/>
      <c r="N3" s="23"/>
      <c r="O3" s="23"/>
      <c r="P3" s="23"/>
      <c r="Q3" s="23"/>
      <c r="R3" s="23"/>
      <c r="S3" s="23"/>
      <c r="T3" s="23"/>
      <c r="U3" s="23"/>
    </row>
    <row r="4" spans="1:21">
      <c r="A4" s="23"/>
      <c r="B4" s="23"/>
      <c r="C4" s="23"/>
      <c r="D4" s="23"/>
      <c r="E4" s="23"/>
      <c r="F4" s="23"/>
      <c r="G4" s="23"/>
      <c r="H4" s="23"/>
      <c r="I4" s="23"/>
      <c r="J4" s="23"/>
      <c r="K4" s="23"/>
      <c r="L4" s="23"/>
      <c r="M4" s="23"/>
      <c r="N4" s="23"/>
      <c r="O4" s="23"/>
      <c r="P4" s="23"/>
      <c r="Q4" s="23"/>
      <c r="R4" s="23"/>
      <c r="S4" s="23"/>
      <c r="T4" s="23"/>
      <c r="U4" s="23"/>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24"/>
      <c r="Q6" s="24"/>
      <c r="R6" s="24"/>
      <c r="S6" s="24"/>
      <c r="T6" s="24"/>
      <c r="U6" s="24"/>
    </row>
    <row r="7" spans="1:21" ht="32" customHeight="1">
      <c r="A7" s="25" t="s">
        <v>147</v>
      </c>
      <c r="B7" s="25"/>
      <c r="C7" s="25"/>
      <c r="D7" s="25"/>
      <c r="E7" s="25"/>
      <c r="F7" s="25"/>
      <c r="G7" s="25"/>
      <c r="H7" s="25"/>
      <c r="I7" s="25"/>
      <c r="J7" s="25"/>
      <c r="K7" s="25"/>
      <c r="L7" s="25"/>
      <c r="M7" s="25"/>
      <c r="N7" s="25"/>
      <c r="O7" s="25"/>
      <c r="P7" s="25"/>
      <c r="Q7" s="25"/>
      <c r="R7" s="25"/>
      <c r="S7" s="25"/>
      <c r="T7" s="25"/>
      <c r="U7" s="25"/>
    </row>
    <row r="8" spans="1:21">
      <c r="A8" s="25"/>
      <c r="B8" s="25"/>
      <c r="C8" s="25"/>
      <c r="D8" s="25"/>
      <c r="E8" s="25"/>
      <c r="F8" s="25"/>
      <c r="G8" s="25"/>
      <c r="H8" s="25"/>
      <c r="I8" s="25"/>
      <c r="J8" s="25"/>
      <c r="K8" s="25"/>
      <c r="L8" s="25"/>
      <c r="M8" s="25"/>
      <c r="N8" s="25"/>
      <c r="O8" s="25"/>
      <c r="P8" s="25"/>
      <c r="Q8" s="25"/>
      <c r="R8" s="25"/>
      <c r="S8" s="25"/>
      <c r="T8" s="25"/>
      <c r="U8" s="25"/>
    </row>
    <row r="9" spans="1:21">
      <c r="A9" s="26" t="s">
        <v>4</v>
      </c>
      <c r="B9" s="26"/>
      <c r="C9" s="26"/>
      <c r="D9" s="26"/>
      <c r="E9" s="26"/>
      <c r="F9" s="26"/>
      <c r="G9" s="26"/>
      <c r="H9" s="26"/>
      <c r="I9" s="26"/>
      <c r="J9" s="26"/>
      <c r="K9" s="26"/>
      <c r="L9" s="26"/>
      <c r="M9" s="26"/>
      <c r="N9" s="26"/>
      <c r="O9" s="26"/>
      <c r="P9" s="26"/>
      <c r="Q9" s="26"/>
      <c r="R9" s="26"/>
      <c r="S9" s="26"/>
      <c r="T9" s="26"/>
      <c r="U9" s="26"/>
    </row>
    <row r="10" spans="1:21">
      <c r="A10" s="8"/>
      <c r="B10" s="8"/>
      <c r="C10" s="8"/>
      <c r="D10" s="8"/>
      <c r="E10" s="8"/>
      <c r="F10" s="8"/>
      <c r="G10" s="8"/>
      <c r="H10" s="8"/>
      <c r="I10" s="8"/>
      <c r="J10" s="8"/>
      <c r="K10" s="8"/>
      <c r="L10" s="8"/>
      <c r="M10" s="8"/>
      <c r="N10" s="8"/>
      <c r="O10" s="8"/>
      <c r="P10" s="8"/>
      <c r="Q10" s="8"/>
      <c r="R10" s="8"/>
      <c r="S10" s="8"/>
      <c r="T10" s="8"/>
      <c r="U10" s="8"/>
    </row>
    <row r="11" spans="1:21" ht="45.25" customHeight="1">
      <c r="A11" s="1" t="s">
        <v>148</v>
      </c>
      <c r="B11" s="1" t="s">
        <v>149</v>
      </c>
      <c r="C11" s="1" t="s">
        <v>150</v>
      </c>
      <c r="D11" s="1" t="s">
        <v>151</v>
      </c>
      <c r="E11" s="1" t="s">
        <v>152</v>
      </c>
      <c r="F11" s="1" t="s">
        <v>153</v>
      </c>
      <c r="G11" s="1" t="s">
        <v>154</v>
      </c>
      <c r="H11" s="2" t="s">
        <v>155</v>
      </c>
      <c r="I11" s="2" t="s">
        <v>156</v>
      </c>
      <c r="J11" s="2" t="s">
        <v>157</v>
      </c>
      <c r="K11" s="2" t="s">
        <v>158</v>
      </c>
      <c r="L11" s="2" t="s">
        <v>159</v>
      </c>
      <c r="M11" s="2" t="s">
        <v>16</v>
      </c>
      <c r="N11" s="2" t="s">
        <v>160</v>
      </c>
      <c r="O11" s="2" t="s">
        <v>161</v>
      </c>
      <c r="P11" s="2" t="s">
        <v>162</v>
      </c>
      <c r="Q11" s="2" t="s">
        <v>163</v>
      </c>
      <c r="R11" s="2" t="s">
        <v>164</v>
      </c>
      <c r="S11" s="2" t="s">
        <v>165</v>
      </c>
      <c r="T11" s="2" t="s">
        <v>166</v>
      </c>
      <c r="U11" s="2" t="s">
        <v>167</v>
      </c>
    </row>
    <row r="12" spans="1:21" ht="30">
      <c r="A12" s="3" t="s">
        <v>168</v>
      </c>
      <c r="B12" s="3" t="s">
        <v>169</v>
      </c>
      <c r="C12" s="3" t="s">
        <v>170</v>
      </c>
      <c r="D12" s="6">
        <v>46238</v>
      </c>
      <c r="E12" s="6">
        <v>46268</v>
      </c>
      <c r="F12" s="4">
        <v>12540.75</v>
      </c>
      <c r="G12" s="3" t="s">
        <v>171</v>
      </c>
      <c r="H12" s="11"/>
      <c r="I12" s="11"/>
      <c r="J12" s="11"/>
      <c r="K12" s="11"/>
      <c r="L12" s="11"/>
      <c r="M12" s="11"/>
      <c r="N12" s="11"/>
      <c r="O12" s="11"/>
      <c r="P12" s="11"/>
      <c r="Q12" s="11"/>
      <c r="R12" s="11"/>
      <c r="S12" s="11"/>
      <c r="T12" s="11"/>
      <c r="U12" s="16"/>
    </row>
    <row r="13" spans="1:21" ht="15">
      <c r="A13" s="3" t="s">
        <v>172</v>
      </c>
      <c r="B13" s="3" t="s">
        <v>173</v>
      </c>
      <c r="C13" s="3" t="s">
        <v>174</v>
      </c>
      <c r="D13" s="6">
        <v>46240</v>
      </c>
      <c r="E13" s="6">
        <v>46270</v>
      </c>
      <c r="F13" s="4">
        <v>6840</v>
      </c>
      <c r="G13" s="3" t="s">
        <v>175</v>
      </c>
      <c r="H13" s="11"/>
      <c r="I13" s="11"/>
      <c r="J13" s="11"/>
      <c r="K13" s="11"/>
      <c r="L13" s="11"/>
      <c r="M13" s="11"/>
      <c r="N13" s="11"/>
      <c r="O13" s="11"/>
      <c r="P13" s="11"/>
      <c r="Q13" s="11"/>
      <c r="R13" s="11"/>
      <c r="S13" s="11"/>
      <c r="T13" s="11"/>
      <c r="U13" s="16"/>
    </row>
    <row r="14" spans="1:21" ht="15">
      <c r="A14" s="3" t="s">
        <v>176</v>
      </c>
      <c r="B14" s="3" t="s">
        <v>177</v>
      </c>
      <c r="C14" s="3" t="s">
        <v>178</v>
      </c>
      <c r="D14" s="6">
        <v>46242</v>
      </c>
      <c r="E14" s="6">
        <v>46272</v>
      </c>
      <c r="F14" s="4">
        <v>21975.4</v>
      </c>
      <c r="G14" s="3" t="s">
        <v>179</v>
      </c>
      <c r="H14" s="11"/>
      <c r="I14" s="11"/>
      <c r="J14" s="11"/>
      <c r="K14" s="11"/>
      <c r="L14" s="11"/>
      <c r="M14" s="11"/>
      <c r="N14" s="11"/>
      <c r="O14" s="11"/>
      <c r="P14" s="11"/>
      <c r="Q14" s="11"/>
      <c r="R14" s="11"/>
      <c r="S14" s="11"/>
      <c r="T14" s="11"/>
      <c r="U14" s="16"/>
    </row>
    <row r="15" spans="1:21" ht="30">
      <c r="A15" s="3" t="s">
        <v>180</v>
      </c>
      <c r="B15" s="3" t="s">
        <v>181</v>
      </c>
      <c r="C15" s="3" t="s">
        <v>182</v>
      </c>
      <c r="D15" s="6">
        <v>46245</v>
      </c>
      <c r="E15" s="6">
        <v>46275</v>
      </c>
      <c r="F15" s="4">
        <v>4375.25</v>
      </c>
      <c r="G15" s="3" t="s">
        <v>183</v>
      </c>
      <c r="H15" s="11"/>
      <c r="I15" s="11"/>
      <c r="J15" s="11"/>
      <c r="K15" s="11"/>
      <c r="L15" s="11"/>
      <c r="M15" s="11"/>
      <c r="N15" s="11"/>
      <c r="O15" s="11"/>
      <c r="P15" s="11"/>
      <c r="Q15" s="11"/>
      <c r="R15" s="11"/>
      <c r="S15" s="11"/>
      <c r="T15" s="11"/>
      <c r="U15" s="16"/>
    </row>
    <row r="16" spans="1:21" ht="15">
      <c r="A16" s="3" t="s">
        <v>184</v>
      </c>
      <c r="B16" s="3" t="s">
        <v>185</v>
      </c>
      <c r="C16" s="3" t="s">
        <v>186</v>
      </c>
      <c r="D16" s="6">
        <v>46247</v>
      </c>
      <c r="E16" s="6">
        <v>46277</v>
      </c>
      <c r="F16" s="4">
        <v>8920.9</v>
      </c>
      <c r="G16" s="3" t="s">
        <v>187</v>
      </c>
      <c r="H16" s="11"/>
      <c r="I16" s="11"/>
      <c r="J16" s="11"/>
      <c r="K16" s="11"/>
      <c r="L16" s="11"/>
      <c r="M16" s="11"/>
      <c r="N16" s="11"/>
      <c r="O16" s="11"/>
      <c r="P16" s="11"/>
      <c r="Q16" s="11"/>
      <c r="R16" s="11"/>
      <c r="S16" s="11"/>
      <c r="T16" s="11"/>
      <c r="U16" s="16"/>
    </row>
    <row r="17" spans="1:21" ht="15">
      <c r="A17" s="3" t="s">
        <v>188</v>
      </c>
      <c r="B17" s="3" t="s">
        <v>189</v>
      </c>
      <c r="C17" s="3" t="s">
        <v>190</v>
      </c>
      <c r="D17" s="6">
        <v>46249</v>
      </c>
      <c r="E17" s="6">
        <v>46279</v>
      </c>
      <c r="F17" s="4">
        <v>15760</v>
      </c>
      <c r="G17" s="3" t="s">
        <v>191</v>
      </c>
      <c r="H17" s="11"/>
      <c r="I17" s="11"/>
      <c r="J17" s="11"/>
      <c r="K17" s="11"/>
      <c r="L17" s="11"/>
      <c r="M17" s="11"/>
      <c r="N17" s="11"/>
      <c r="O17" s="11"/>
      <c r="P17" s="11"/>
      <c r="Q17" s="11"/>
      <c r="R17" s="11"/>
      <c r="S17" s="11"/>
      <c r="T17" s="11"/>
      <c r="U17" s="16"/>
    </row>
    <row r="18" spans="1:21" ht="15">
      <c r="A18" s="3" t="s">
        <v>192</v>
      </c>
      <c r="B18" s="3" t="s">
        <v>193</v>
      </c>
      <c r="C18" s="3" t="s">
        <v>194</v>
      </c>
      <c r="D18" s="6">
        <v>46252</v>
      </c>
      <c r="E18" s="6">
        <v>46282</v>
      </c>
      <c r="F18" s="4">
        <v>3240.8</v>
      </c>
      <c r="G18" s="3" t="s">
        <v>195</v>
      </c>
      <c r="H18" s="11"/>
      <c r="I18" s="11"/>
      <c r="J18" s="11"/>
      <c r="K18" s="11"/>
      <c r="L18" s="11"/>
      <c r="M18" s="11"/>
      <c r="N18" s="11"/>
      <c r="O18" s="11"/>
      <c r="P18" s="11"/>
      <c r="Q18" s="11"/>
      <c r="R18" s="11"/>
      <c r="S18" s="11"/>
      <c r="T18" s="11"/>
      <c r="U18" s="16"/>
    </row>
    <row r="19" spans="1:21" ht="30">
      <c r="A19" s="3" t="s">
        <v>196</v>
      </c>
      <c r="B19" s="3" t="s">
        <v>197</v>
      </c>
      <c r="C19" s="3" t="s">
        <v>198</v>
      </c>
      <c r="D19" s="6">
        <v>46254</v>
      </c>
      <c r="E19" s="6">
        <v>46284</v>
      </c>
      <c r="F19" s="4">
        <v>10995.6</v>
      </c>
      <c r="G19" s="3" t="s">
        <v>199</v>
      </c>
      <c r="H19" s="11"/>
      <c r="I19" s="11"/>
      <c r="J19" s="11"/>
      <c r="K19" s="11"/>
      <c r="L19" s="11"/>
      <c r="M19" s="11"/>
      <c r="N19" s="11"/>
      <c r="O19" s="11"/>
      <c r="P19" s="11"/>
      <c r="Q19" s="11"/>
      <c r="R19" s="11"/>
      <c r="S19" s="11"/>
      <c r="T19" s="11"/>
      <c r="U19" s="16"/>
    </row>
    <row r="20" spans="1:21" ht="15">
      <c r="A20" s="3" t="s">
        <v>200</v>
      </c>
      <c r="B20" s="3" t="s">
        <v>201</v>
      </c>
      <c r="C20" s="3" t="s">
        <v>202</v>
      </c>
      <c r="D20" s="6">
        <v>46256</v>
      </c>
      <c r="E20" s="6">
        <v>46286</v>
      </c>
      <c r="F20" s="4">
        <v>1985.35</v>
      </c>
      <c r="G20" s="3" t="s">
        <v>203</v>
      </c>
      <c r="H20" s="11"/>
      <c r="I20" s="11"/>
      <c r="J20" s="11"/>
      <c r="K20" s="11"/>
      <c r="L20" s="11"/>
      <c r="M20" s="11"/>
      <c r="N20" s="11"/>
      <c r="O20" s="11"/>
      <c r="P20" s="11"/>
      <c r="Q20" s="11"/>
      <c r="R20" s="11"/>
      <c r="S20" s="11"/>
      <c r="T20" s="11"/>
      <c r="U20" s="16"/>
    </row>
    <row r="21" spans="1:21" ht="15">
      <c r="A21" s="3" t="s">
        <v>204</v>
      </c>
      <c r="B21" s="3" t="s">
        <v>205</v>
      </c>
      <c r="C21" s="3" t="s">
        <v>206</v>
      </c>
      <c r="D21" s="6">
        <v>46258</v>
      </c>
      <c r="E21" s="6">
        <v>46288</v>
      </c>
      <c r="F21" s="4">
        <v>7310.5</v>
      </c>
      <c r="G21" s="3" t="s">
        <v>207</v>
      </c>
      <c r="H21" s="11"/>
      <c r="I21" s="11"/>
      <c r="J21" s="11"/>
      <c r="K21" s="11"/>
      <c r="L21" s="11"/>
      <c r="M21" s="11"/>
      <c r="N21" s="11"/>
      <c r="O21" s="11"/>
      <c r="P21" s="11"/>
      <c r="Q21" s="11"/>
      <c r="R21" s="11"/>
      <c r="S21" s="11"/>
      <c r="T21" s="11"/>
      <c r="U21" s="16"/>
    </row>
    <row r="22" spans="1:21" ht="58.75" customHeight="1">
      <c r="A22" s="8"/>
      <c r="B22" s="8"/>
      <c r="C22" s="8"/>
      <c r="D22" s="8"/>
      <c r="E22" s="8"/>
      <c r="F22" s="8"/>
      <c r="G22" s="8"/>
      <c r="H22" s="9" t="s">
        <v>208</v>
      </c>
      <c r="I22" s="9" t="s">
        <v>209</v>
      </c>
      <c r="J22" s="9" t="s">
        <v>210</v>
      </c>
      <c r="K22" s="9" t="s">
        <v>211</v>
      </c>
      <c r="L22" s="9" t="s">
        <v>212</v>
      </c>
      <c r="M22" s="9" t="s">
        <v>67</v>
      </c>
      <c r="N22" s="9" t="s">
        <v>213</v>
      </c>
      <c r="O22" s="9" t="s">
        <v>214</v>
      </c>
      <c r="P22" s="9" t="s">
        <v>215</v>
      </c>
      <c r="Q22" s="9" t="s">
        <v>216</v>
      </c>
      <c r="R22" s="9" t="s">
        <v>217</v>
      </c>
      <c r="S22" s="9" t="s">
        <v>218</v>
      </c>
      <c r="T22" s="9" t="s">
        <v>219</v>
      </c>
      <c r="U22" s="9" t="s">
        <v>220</v>
      </c>
    </row>
    <row r="23" spans="1:21">
      <c r="A23" s="8"/>
      <c r="B23" s="8"/>
      <c r="C23" s="8"/>
      <c r="D23" s="8"/>
      <c r="E23" s="8"/>
      <c r="F23" s="8"/>
      <c r="G23" s="8"/>
      <c r="H23" s="8"/>
      <c r="I23" s="8"/>
      <c r="J23" s="8"/>
      <c r="K23" s="8"/>
      <c r="L23" s="8"/>
      <c r="M23" s="8"/>
      <c r="N23" s="8"/>
      <c r="O23" s="8"/>
      <c r="P23" s="8"/>
      <c r="Q23" s="8"/>
      <c r="R23" s="8"/>
      <c r="S23" s="8"/>
      <c r="T23" s="8"/>
      <c r="U23" s="8"/>
    </row>
    <row r="24" spans="1:21">
      <c r="A24" s="8"/>
      <c r="B24" s="8"/>
      <c r="C24" s="8"/>
      <c r="D24" s="8"/>
      <c r="E24" s="8"/>
      <c r="F24" s="8"/>
      <c r="G24" s="8"/>
      <c r="H24" s="8"/>
      <c r="I24" s="8"/>
      <c r="J24" s="8"/>
      <c r="K24" s="8"/>
      <c r="L24" s="8"/>
      <c r="M24" s="8"/>
      <c r="N24" s="8"/>
      <c r="O24" s="8"/>
      <c r="P24" s="8"/>
      <c r="Q24" s="8"/>
      <c r="R24" s="8"/>
      <c r="S24" s="8"/>
      <c r="T24" s="8"/>
      <c r="U24" s="8"/>
    </row>
    <row r="25" spans="1:21">
      <c r="A25" s="24" t="s">
        <v>74</v>
      </c>
      <c r="B25" s="24"/>
      <c r="C25" s="24"/>
      <c r="D25" s="8"/>
      <c r="E25" s="8"/>
      <c r="F25" s="8"/>
      <c r="G25" s="8"/>
      <c r="H25" s="8"/>
      <c r="I25" s="8"/>
      <c r="J25" s="8"/>
      <c r="K25" s="8"/>
      <c r="L25" s="8"/>
      <c r="M25" s="8"/>
      <c r="N25" s="8"/>
      <c r="O25" s="8"/>
      <c r="P25" s="8"/>
      <c r="Q25" s="8"/>
      <c r="R25" s="8"/>
      <c r="S25" s="8"/>
      <c r="T25" s="8"/>
      <c r="U25" s="8"/>
    </row>
    <row r="26" spans="1:21" ht="15">
      <c r="A26" s="12" t="s">
        <v>221</v>
      </c>
      <c r="B26" s="10"/>
      <c r="C26" s="9" t="s">
        <v>222</v>
      </c>
      <c r="D26" s="8"/>
      <c r="E26" s="8"/>
      <c r="F26" s="8"/>
      <c r="G26" s="8"/>
      <c r="H26" s="8"/>
      <c r="I26" s="8"/>
      <c r="J26" s="8"/>
      <c r="K26" s="8"/>
      <c r="L26" s="8"/>
      <c r="M26" s="8"/>
      <c r="N26" s="8"/>
      <c r="O26" s="8"/>
      <c r="P26" s="8"/>
      <c r="Q26" s="8"/>
      <c r="R26" s="8"/>
      <c r="S26" s="8"/>
      <c r="T26" s="8"/>
      <c r="U26" s="8"/>
    </row>
    <row r="27" spans="1:21" ht="15">
      <c r="A27" s="12" t="s">
        <v>223</v>
      </c>
      <c r="B27" s="13"/>
      <c r="C27" s="9" t="s">
        <v>224</v>
      </c>
      <c r="D27" s="8"/>
      <c r="E27" s="8"/>
      <c r="F27" s="8"/>
      <c r="G27" s="8"/>
      <c r="H27" s="8"/>
      <c r="I27" s="8"/>
      <c r="J27" s="8"/>
      <c r="K27" s="8"/>
      <c r="L27" s="8"/>
      <c r="M27" s="8"/>
      <c r="N27" s="8"/>
      <c r="O27" s="8"/>
      <c r="P27" s="8"/>
      <c r="Q27" s="8"/>
      <c r="R27" s="8"/>
      <c r="S27" s="8"/>
      <c r="T27" s="8"/>
      <c r="U27" s="8"/>
    </row>
    <row r="28" spans="1:21" ht="15">
      <c r="A28" s="12" t="s">
        <v>225</v>
      </c>
      <c r="B28" s="13"/>
      <c r="C28" s="9" t="s">
        <v>226</v>
      </c>
      <c r="D28" s="8"/>
      <c r="E28" s="8"/>
      <c r="F28" s="8"/>
      <c r="G28" s="8"/>
      <c r="H28" s="8"/>
      <c r="I28" s="8"/>
      <c r="J28" s="8"/>
      <c r="K28" s="8"/>
      <c r="L28" s="8"/>
      <c r="M28" s="8"/>
      <c r="N28" s="8"/>
      <c r="O28" s="8"/>
      <c r="P28" s="8"/>
      <c r="Q28" s="8"/>
      <c r="R28" s="8"/>
      <c r="S28" s="8"/>
      <c r="T28" s="8"/>
      <c r="U28" s="8"/>
    </row>
    <row r="29" spans="1:21" ht="15">
      <c r="A29" s="12" t="s">
        <v>227</v>
      </c>
      <c r="B29" s="10"/>
      <c r="C29" s="9" t="s">
        <v>228</v>
      </c>
      <c r="D29" s="8"/>
      <c r="E29" s="8"/>
      <c r="F29" s="8"/>
      <c r="G29" s="8"/>
      <c r="H29" s="8"/>
      <c r="I29" s="8"/>
      <c r="J29" s="8"/>
      <c r="K29" s="8"/>
      <c r="L29" s="8"/>
      <c r="M29" s="8"/>
      <c r="N29" s="8"/>
      <c r="O29" s="8"/>
      <c r="P29" s="8"/>
      <c r="Q29" s="8"/>
      <c r="R29" s="8"/>
      <c r="S29" s="8"/>
      <c r="T29" s="8"/>
      <c r="U29" s="8"/>
    </row>
    <row r="30" spans="1:21" ht="15">
      <c r="A30" s="12" t="s">
        <v>229</v>
      </c>
      <c r="B30" s="10"/>
      <c r="C30" s="9" t="s">
        <v>230</v>
      </c>
      <c r="D30" s="8"/>
      <c r="E30" s="8"/>
      <c r="F30" s="8"/>
      <c r="G30" s="8"/>
      <c r="H30" s="8"/>
      <c r="I30" s="8"/>
      <c r="J30" s="8"/>
      <c r="K30" s="8"/>
      <c r="L30" s="8"/>
      <c r="M30" s="8"/>
      <c r="N30" s="8"/>
      <c r="O30" s="8"/>
      <c r="P30" s="8"/>
      <c r="Q30" s="8"/>
      <c r="R30" s="8"/>
      <c r="S30" s="8"/>
      <c r="T30" s="8"/>
      <c r="U30" s="8"/>
    </row>
    <row r="31" spans="1:21" ht="15">
      <c r="A31" s="12" t="s">
        <v>231</v>
      </c>
      <c r="B31" s="10"/>
      <c r="C31" s="9" t="s">
        <v>232</v>
      </c>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5:C25"/>
    <mergeCell ref="A1:U1"/>
    <mergeCell ref="A3:U4"/>
    <mergeCell ref="A6:U6"/>
    <mergeCell ref="A7:U8"/>
    <mergeCell ref="A9:U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0"/>
  <sheetViews>
    <sheetView workbookViewId="0">
      <selection sqref="A1:U1"/>
    </sheetView>
  </sheetViews>
  <sheetFormatPr baseColWidth="10" defaultColWidth="8.83203125" defaultRowHeight="14"/>
  <cols>
    <col min="1" max="1" width="19" customWidth="1"/>
    <col min="2" max="2" width="25" customWidth="1"/>
    <col min="3" max="3" width="28" customWidth="1"/>
    <col min="4" max="5" width="13" customWidth="1"/>
    <col min="6" max="6" width="14" customWidth="1"/>
    <col min="7" max="7" width="15" customWidth="1"/>
    <col min="8" max="8" width="12" customWidth="1"/>
    <col min="9" max="9" width="11" customWidth="1"/>
    <col min="10" max="10" width="10" customWidth="1"/>
    <col min="11" max="11" width="13" customWidth="1"/>
    <col min="12" max="12" width="11" customWidth="1"/>
    <col min="13" max="13" width="26" customWidth="1"/>
    <col min="14" max="14" width="16" customWidth="1"/>
    <col min="15" max="15" width="19" customWidth="1"/>
    <col min="16" max="16" width="12" customWidth="1"/>
    <col min="17" max="17" width="10" customWidth="1"/>
    <col min="18" max="18" width="13" customWidth="1"/>
    <col min="19" max="19" width="12" customWidth="1"/>
    <col min="20" max="20" width="15" customWidth="1"/>
    <col min="21" max="21" width="14" customWidth="1"/>
  </cols>
  <sheetData>
    <row r="1" spans="1:21" ht="37.25" customHeight="1">
      <c r="A1" s="22" t="s">
        <v>233</v>
      </c>
      <c r="B1" s="22"/>
      <c r="C1" s="22"/>
      <c r="D1" s="22"/>
      <c r="E1" s="22"/>
      <c r="F1" s="22"/>
      <c r="G1" s="22"/>
      <c r="H1" s="22"/>
      <c r="I1" s="22"/>
      <c r="J1" s="22"/>
      <c r="K1" s="22"/>
      <c r="L1" s="22"/>
      <c r="M1" s="22"/>
      <c r="N1" s="22"/>
      <c r="O1" s="22"/>
      <c r="P1" s="22"/>
      <c r="Q1" s="22"/>
      <c r="R1" s="22"/>
      <c r="S1" s="22"/>
      <c r="T1" s="22"/>
      <c r="U1" s="22"/>
    </row>
    <row r="2" spans="1:21">
      <c r="A2" s="8"/>
      <c r="B2" s="8"/>
      <c r="C2" s="8"/>
      <c r="D2" s="8"/>
      <c r="E2" s="8"/>
      <c r="F2" s="8"/>
      <c r="G2" s="8"/>
      <c r="H2" s="8"/>
      <c r="I2" s="8"/>
      <c r="J2" s="8"/>
      <c r="K2" s="8"/>
      <c r="L2" s="8"/>
      <c r="M2" s="8"/>
      <c r="N2" s="8"/>
      <c r="O2" s="8"/>
      <c r="P2" s="8"/>
      <c r="Q2" s="8"/>
      <c r="R2" s="8"/>
      <c r="S2" s="8"/>
      <c r="T2" s="8"/>
      <c r="U2" s="8"/>
    </row>
    <row r="3" spans="1:21" ht="29.25" customHeight="1">
      <c r="A3" s="23" t="s">
        <v>146</v>
      </c>
      <c r="B3" s="23"/>
      <c r="C3" s="23"/>
      <c r="D3" s="23"/>
      <c r="E3" s="23"/>
      <c r="F3" s="23"/>
      <c r="G3" s="23"/>
      <c r="H3" s="23"/>
      <c r="I3" s="23"/>
      <c r="J3" s="23"/>
      <c r="K3" s="23"/>
      <c r="L3" s="23"/>
      <c r="M3" s="23"/>
      <c r="N3" s="23"/>
      <c r="O3" s="23"/>
      <c r="P3" s="23"/>
      <c r="Q3" s="23"/>
      <c r="R3" s="23"/>
      <c r="S3" s="23"/>
      <c r="T3" s="23"/>
      <c r="U3" s="23"/>
    </row>
    <row r="4" spans="1:21">
      <c r="A4" s="23"/>
      <c r="B4" s="23"/>
      <c r="C4" s="23"/>
      <c r="D4" s="23"/>
      <c r="E4" s="23"/>
      <c r="F4" s="23"/>
      <c r="G4" s="23"/>
      <c r="H4" s="23"/>
      <c r="I4" s="23"/>
      <c r="J4" s="23"/>
      <c r="K4" s="23"/>
      <c r="L4" s="23"/>
      <c r="M4" s="23"/>
      <c r="N4" s="23"/>
      <c r="O4" s="23"/>
      <c r="P4" s="23"/>
      <c r="Q4" s="23"/>
      <c r="R4" s="23"/>
      <c r="S4" s="23"/>
      <c r="T4" s="23"/>
      <c r="U4" s="23"/>
    </row>
    <row r="5" spans="1:21">
      <c r="A5" s="8"/>
      <c r="B5" s="8"/>
      <c r="C5" s="8"/>
      <c r="D5" s="8"/>
      <c r="E5" s="8"/>
      <c r="F5" s="8"/>
      <c r="G5" s="8"/>
      <c r="H5" s="8"/>
      <c r="I5" s="8"/>
      <c r="J5" s="8"/>
      <c r="K5" s="8"/>
      <c r="L5" s="8"/>
      <c r="M5" s="8"/>
      <c r="N5" s="8"/>
      <c r="O5" s="8"/>
      <c r="P5" s="8"/>
      <c r="Q5" s="8"/>
      <c r="R5" s="8"/>
      <c r="S5" s="8"/>
      <c r="T5" s="8"/>
      <c r="U5" s="8"/>
    </row>
    <row r="6" spans="1:21">
      <c r="A6" s="24" t="s">
        <v>2</v>
      </c>
      <c r="B6" s="24"/>
      <c r="C6" s="24"/>
      <c r="D6" s="24"/>
      <c r="E6" s="24"/>
      <c r="F6" s="24"/>
      <c r="G6" s="24"/>
      <c r="H6" s="24"/>
      <c r="I6" s="24"/>
      <c r="J6" s="24"/>
      <c r="K6" s="24"/>
      <c r="L6" s="24"/>
      <c r="M6" s="24"/>
      <c r="N6" s="24"/>
      <c r="O6" s="24"/>
      <c r="P6" s="24"/>
      <c r="Q6" s="24"/>
      <c r="R6" s="24"/>
      <c r="S6" s="24"/>
      <c r="T6" s="24"/>
      <c r="U6" s="24"/>
    </row>
    <row r="7" spans="1:21" ht="32" customHeight="1">
      <c r="A7" s="25" t="s">
        <v>147</v>
      </c>
      <c r="B7" s="25"/>
      <c r="C7" s="25"/>
      <c r="D7" s="25"/>
      <c r="E7" s="25"/>
      <c r="F7" s="25"/>
      <c r="G7" s="25"/>
      <c r="H7" s="25"/>
      <c r="I7" s="25"/>
      <c r="J7" s="25"/>
      <c r="K7" s="25"/>
      <c r="L7" s="25"/>
      <c r="M7" s="25"/>
      <c r="N7" s="25"/>
      <c r="O7" s="25"/>
      <c r="P7" s="25"/>
      <c r="Q7" s="25"/>
      <c r="R7" s="25"/>
      <c r="S7" s="25"/>
      <c r="T7" s="25"/>
      <c r="U7" s="25"/>
    </row>
    <row r="8" spans="1:21">
      <c r="A8" s="25"/>
      <c r="B8" s="25"/>
      <c r="C8" s="25"/>
      <c r="D8" s="25"/>
      <c r="E8" s="25"/>
      <c r="F8" s="25"/>
      <c r="G8" s="25"/>
      <c r="H8" s="25"/>
      <c r="I8" s="25"/>
      <c r="J8" s="25"/>
      <c r="K8" s="25"/>
      <c r="L8" s="25"/>
      <c r="M8" s="25"/>
      <c r="N8" s="25"/>
      <c r="O8" s="25"/>
      <c r="P8" s="25"/>
      <c r="Q8" s="25"/>
      <c r="R8" s="25"/>
      <c r="S8" s="25"/>
      <c r="T8" s="25"/>
      <c r="U8" s="25"/>
    </row>
    <row r="9" spans="1:21" ht="15">
      <c r="A9" s="27" t="s">
        <v>88</v>
      </c>
      <c r="B9" s="27"/>
      <c r="C9" s="27"/>
      <c r="D9" s="27"/>
      <c r="E9" s="27"/>
      <c r="F9" s="27"/>
      <c r="G9" s="27"/>
      <c r="H9" s="27"/>
      <c r="I9" s="27"/>
      <c r="J9" s="27"/>
      <c r="K9" s="27"/>
      <c r="L9" s="27"/>
      <c r="M9" s="27"/>
      <c r="N9" s="27"/>
      <c r="O9" s="27"/>
      <c r="P9" s="27"/>
      <c r="Q9" s="27"/>
      <c r="R9" s="27"/>
      <c r="S9" s="27"/>
      <c r="T9" s="27"/>
      <c r="U9" s="27"/>
    </row>
    <row r="10" spans="1:21">
      <c r="A10" s="8"/>
      <c r="B10" s="8"/>
      <c r="C10" s="8"/>
      <c r="D10" s="8"/>
      <c r="E10" s="8"/>
      <c r="F10" s="8"/>
      <c r="G10" s="8"/>
      <c r="H10" s="8"/>
      <c r="I10" s="8"/>
      <c r="J10" s="8"/>
      <c r="K10" s="8"/>
      <c r="L10" s="8"/>
      <c r="M10" s="8"/>
      <c r="N10" s="8"/>
      <c r="O10" s="8"/>
      <c r="P10" s="8"/>
      <c r="Q10" s="8"/>
      <c r="R10" s="8"/>
      <c r="S10" s="8"/>
      <c r="T10" s="8"/>
      <c r="U10" s="8"/>
    </row>
    <row r="11" spans="1:21" ht="45.25" customHeight="1">
      <c r="A11" s="1" t="s">
        <v>148</v>
      </c>
      <c r="B11" s="1" t="s">
        <v>149</v>
      </c>
      <c r="C11" s="1" t="s">
        <v>150</v>
      </c>
      <c r="D11" s="1" t="s">
        <v>151</v>
      </c>
      <c r="E11" s="1" t="s">
        <v>152</v>
      </c>
      <c r="F11" s="1" t="s">
        <v>153</v>
      </c>
      <c r="G11" s="1" t="s">
        <v>154</v>
      </c>
      <c r="H11" s="2" t="s">
        <v>155</v>
      </c>
      <c r="I11" s="2" t="s">
        <v>156</v>
      </c>
      <c r="J11" s="2" t="s">
        <v>157</v>
      </c>
      <c r="K11" s="2" t="s">
        <v>158</v>
      </c>
      <c r="L11" s="2" t="s">
        <v>159</v>
      </c>
      <c r="M11" s="2" t="s">
        <v>16</v>
      </c>
      <c r="N11" s="2" t="s">
        <v>160</v>
      </c>
      <c r="O11" s="2" t="s">
        <v>161</v>
      </c>
      <c r="P11" s="2" t="s">
        <v>162</v>
      </c>
      <c r="Q11" s="2" t="s">
        <v>163</v>
      </c>
      <c r="R11" s="2" t="s">
        <v>164</v>
      </c>
      <c r="S11" s="2" t="s">
        <v>165</v>
      </c>
      <c r="T11" s="2" t="s">
        <v>166</v>
      </c>
      <c r="U11" s="2" t="s">
        <v>167</v>
      </c>
    </row>
    <row r="12" spans="1:21" ht="30">
      <c r="A12" s="3" t="s">
        <v>168</v>
      </c>
      <c r="B12" s="3" t="s">
        <v>169</v>
      </c>
      <c r="C12" s="3" t="s">
        <v>170</v>
      </c>
      <c r="D12" s="6">
        <v>46238</v>
      </c>
      <c r="E12" s="6">
        <v>46268</v>
      </c>
      <c r="F12" s="4">
        <v>12540.75</v>
      </c>
      <c r="G12" s="3" t="s">
        <v>171</v>
      </c>
      <c r="H12" s="12" t="str">
        <f t="shared" ref="H12:H21" si="0">LEFT(A12,3)</f>
        <v>ACM</v>
      </c>
      <c r="I12" s="12" t="str">
        <f t="shared" ref="I12:I21" si="1">RIGHT(A12,5)</f>
        <v>00481</v>
      </c>
      <c r="J12" s="12" t="str">
        <f t="shared" ref="J12:J21" si="2">MID(A12,5,4)</f>
        <v>2026</v>
      </c>
      <c r="K12" s="12">
        <f t="shared" ref="K12:K21" si="3">FIND("|",A12)</f>
        <v>4</v>
      </c>
      <c r="L12" s="12">
        <f t="shared" ref="L12:L21" si="4">LEN(A12)</f>
        <v>17</v>
      </c>
      <c r="M12" s="12" t="str">
        <f t="shared" ref="M12:M21" si="5">LOWER(C12)</f>
        <v>ap@acme-ind.com</v>
      </c>
      <c r="N12" s="12" t="str">
        <f t="shared" ref="N12:N21" si="6">SUBSTITUTE(G12,"#","-")</f>
        <v>PO-WV-18442</v>
      </c>
      <c r="O12" s="12" t="str">
        <f t="shared" ref="O12:O21" si="7">REPLACE(A12,10,2,"HQ")</f>
        <v>ACM|2026|HQ|00481</v>
      </c>
      <c r="P12" s="12">
        <f t="shared" ref="P12:P21" si="8">NETWORKDAYS(D12,E12)</f>
        <v>23</v>
      </c>
      <c r="Q12" s="12">
        <f t="shared" ref="Q12:Q21" si="9">DAY(E12)</f>
        <v>3</v>
      </c>
      <c r="R12" s="12">
        <f t="shared" ref="R12:R21" si="10">MONTH(D12)</f>
        <v>8</v>
      </c>
      <c r="S12" s="12">
        <f t="shared" ref="S12:S21" si="11">YEAR(D12)</f>
        <v>2026</v>
      </c>
      <c r="T12" s="12" t="e">
        <f t="shared" ref="T12:T21" ca="1" si="12">_xludf.CONCAT(H12,"-",I12)</f>
        <v>#NAME?</v>
      </c>
      <c r="U12" s="20">
        <f t="shared" ref="U12:U21" si="13">DATE(YEAR(D12),MONTH(D12),1)</f>
        <v>46235</v>
      </c>
    </row>
    <row r="13" spans="1:21" ht="15">
      <c r="A13" s="3" t="s">
        <v>172</v>
      </c>
      <c r="B13" s="3" t="s">
        <v>173</v>
      </c>
      <c r="C13" s="3" t="s">
        <v>174</v>
      </c>
      <c r="D13" s="6">
        <v>46240</v>
      </c>
      <c r="E13" s="6">
        <v>46270</v>
      </c>
      <c r="F13" s="4">
        <v>6840</v>
      </c>
      <c r="G13" s="3" t="s">
        <v>175</v>
      </c>
      <c r="H13" s="12" t="str">
        <f t="shared" si="0"/>
        <v>BRC</v>
      </c>
      <c r="I13" s="12" t="str">
        <f t="shared" si="1"/>
        <v>00492</v>
      </c>
      <c r="J13" s="12" t="str">
        <f t="shared" si="2"/>
        <v>2026</v>
      </c>
      <c r="K13" s="12">
        <f t="shared" si="3"/>
        <v>4</v>
      </c>
      <c r="L13" s="12">
        <f t="shared" si="4"/>
        <v>17</v>
      </c>
      <c r="M13" s="12" t="str">
        <f t="shared" si="5"/>
        <v>payables@bricker.com</v>
      </c>
      <c r="N13" s="12" t="str">
        <f t="shared" si="6"/>
        <v>PO-OH-18501</v>
      </c>
      <c r="O13" s="12" t="str">
        <f t="shared" si="7"/>
        <v>BRC|2026|HQ|00492</v>
      </c>
      <c r="P13" s="12">
        <f t="shared" si="8"/>
        <v>22</v>
      </c>
      <c r="Q13" s="12">
        <f t="shared" si="9"/>
        <v>5</v>
      </c>
      <c r="R13" s="12">
        <f t="shared" si="10"/>
        <v>8</v>
      </c>
      <c r="S13" s="12">
        <f t="shared" si="11"/>
        <v>2026</v>
      </c>
      <c r="T13" s="12" t="e">
        <f t="shared" ca="1" si="12"/>
        <v>#NAME?</v>
      </c>
      <c r="U13" s="20">
        <f t="shared" si="13"/>
        <v>46235</v>
      </c>
    </row>
    <row r="14" spans="1:21" ht="15">
      <c r="A14" s="3" t="s">
        <v>176</v>
      </c>
      <c r="B14" s="3" t="s">
        <v>177</v>
      </c>
      <c r="C14" s="3" t="s">
        <v>178</v>
      </c>
      <c r="D14" s="6">
        <v>46242</v>
      </c>
      <c r="E14" s="6">
        <v>46272</v>
      </c>
      <c r="F14" s="4">
        <v>21975.4</v>
      </c>
      <c r="G14" s="3" t="s">
        <v>179</v>
      </c>
      <c r="H14" s="12" t="str">
        <f t="shared" si="0"/>
        <v>CRV</v>
      </c>
      <c r="I14" s="12" t="str">
        <f t="shared" si="1"/>
        <v>00503</v>
      </c>
      <c r="J14" s="12" t="str">
        <f t="shared" si="2"/>
        <v>2026</v>
      </c>
      <c r="K14" s="12">
        <f t="shared" si="3"/>
        <v>4</v>
      </c>
      <c r="L14" s="12">
        <f t="shared" si="4"/>
        <v>17</v>
      </c>
      <c r="M14" s="12" t="str">
        <f t="shared" si="5"/>
        <v>ap@carvermw.com</v>
      </c>
      <c r="N14" s="12" t="str">
        <f t="shared" si="6"/>
        <v>PO-PA-18537</v>
      </c>
      <c r="O14" s="12" t="str">
        <f t="shared" si="7"/>
        <v>CRV|2026|HQ|00503</v>
      </c>
      <c r="P14" s="12">
        <f t="shared" si="8"/>
        <v>21</v>
      </c>
      <c r="Q14" s="12">
        <f t="shared" si="9"/>
        <v>7</v>
      </c>
      <c r="R14" s="12">
        <f t="shared" si="10"/>
        <v>8</v>
      </c>
      <c r="S14" s="12">
        <f t="shared" si="11"/>
        <v>2026</v>
      </c>
      <c r="T14" s="12" t="e">
        <f t="shared" ca="1" si="12"/>
        <v>#NAME?</v>
      </c>
      <c r="U14" s="20">
        <f t="shared" si="13"/>
        <v>46235</v>
      </c>
    </row>
    <row r="15" spans="1:21" ht="30">
      <c r="A15" s="3" t="s">
        <v>180</v>
      </c>
      <c r="B15" s="3" t="s">
        <v>181</v>
      </c>
      <c r="C15" s="3" t="s">
        <v>182</v>
      </c>
      <c r="D15" s="6">
        <v>46245</v>
      </c>
      <c r="E15" s="6">
        <v>46275</v>
      </c>
      <c r="F15" s="4">
        <v>4375.25</v>
      </c>
      <c r="G15" s="3" t="s">
        <v>183</v>
      </c>
      <c r="H15" s="12" t="str">
        <f t="shared" si="0"/>
        <v>DLM</v>
      </c>
      <c r="I15" s="12" t="str">
        <f t="shared" si="1"/>
        <v>00517</v>
      </c>
      <c r="J15" s="12" t="str">
        <f t="shared" si="2"/>
        <v>2026</v>
      </c>
      <c r="K15" s="12">
        <f t="shared" si="3"/>
        <v>4</v>
      </c>
      <c r="L15" s="12">
        <f t="shared" si="4"/>
        <v>17</v>
      </c>
      <c r="M15" s="12" t="str">
        <f t="shared" si="5"/>
        <v>accounting@deltamat.com</v>
      </c>
      <c r="N15" s="12" t="str">
        <f t="shared" si="6"/>
        <v>PO-WV-18612</v>
      </c>
      <c r="O15" s="12" t="str">
        <f t="shared" si="7"/>
        <v>DLM|2026|HQ|00517</v>
      </c>
      <c r="P15" s="12">
        <f t="shared" si="8"/>
        <v>23</v>
      </c>
      <c r="Q15" s="12">
        <f t="shared" si="9"/>
        <v>10</v>
      </c>
      <c r="R15" s="12">
        <f t="shared" si="10"/>
        <v>8</v>
      </c>
      <c r="S15" s="12">
        <f t="shared" si="11"/>
        <v>2026</v>
      </c>
      <c r="T15" s="12" t="e">
        <f t="shared" ca="1" si="12"/>
        <v>#NAME?</v>
      </c>
      <c r="U15" s="20">
        <f t="shared" si="13"/>
        <v>46235</v>
      </c>
    </row>
    <row r="16" spans="1:21" ht="15">
      <c r="A16" s="3" t="s">
        <v>184</v>
      </c>
      <c r="B16" s="3" t="s">
        <v>185</v>
      </c>
      <c r="C16" s="3" t="s">
        <v>186</v>
      </c>
      <c r="D16" s="6">
        <v>46247</v>
      </c>
      <c r="E16" s="6">
        <v>46277</v>
      </c>
      <c r="F16" s="4">
        <v>8920.9</v>
      </c>
      <c r="G16" s="3" t="s">
        <v>187</v>
      </c>
      <c r="H16" s="12" t="str">
        <f t="shared" si="0"/>
        <v>EAS</v>
      </c>
      <c r="I16" s="12" t="str">
        <f t="shared" si="1"/>
        <v>00529</v>
      </c>
      <c r="J16" s="12" t="str">
        <f t="shared" si="2"/>
        <v>2026</v>
      </c>
      <c r="K16" s="12">
        <f t="shared" si="3"/>
        <v>4</v>
      </c>
      <c r="L16" s="12">
        <f t="shared" si="4"/>
        <v>17</v>
      </c>
      <c r="M16" s="12" t="str">
        <f t="shared" si="5"/>
        <v>ap@easternsafety.com</v>
      </c>
      <c r="N16" s="12" t="str">
        <f t="shared" si="6"/>
        <v>PO-KY-18688</v>
      </c>
      <c r="O16" s="12" t="str">
        <f t="shared" si="7"/>
        <v>EAS|2026|HQ|00529</v>
      </c>
      <c r="P16" s="12">
        <f t="shared" si="8"/>
        <v>22</v>
      </c>
      <c r="Q16" s="12">
        <f t="shared" si="9"/>
        <v>12</v>
      </c>
      <c r="R16" s="12">
        <f t="shared" si="10"/>
        <v>8</v>
      </c>
      <c r="S16" s="12">
        <f t="shared" si="11"/>
        <v>2026</v>
      </c>
      <c r="T16" s="12" t="e">
        <f t="shared" ca="1" si="12"/>
        <v>#NAME?</v>
      </c>
      <c r="U16" s="20">
        <f t="shared" si="13"/>
        <v>46235</v>
      </c>
    </row>
    <row r="17" spans="1:21" ht="15">
      <c r="A17" s="3" t="s">
        <v>188</v>
      </c>
      <c r="B17" s="3" t="s">
        <v>189</v>
      </c>
      <c r="C17" s="3" t="s">
        <v>190</v>
      </c>
      <c r="D17" s="6">
        <v>46249</v>
      </c>
      <c r="E17" s="6">
        <v>46279</v>
      </c>
      <c r="F17" s="4">
        <v>15760</v>
      </c>
      <c r="G17" s="3" t="s">
        <v>191</v>
      </c>
      <c r="H17" s="12" t="str">
        <f t="shared" si="0"/>
        <v>FRG</v>
      </c>
      <c r="I17" s="12" t="str">
        <f t="shared" si="1"/>
        <v>00541</v>
      </c>
      <c r="J17" s="12" t="str">
        <f t="shared" si="2"/>
        <v>2026</v>
      </c>
      <c r="K17" s="12">
        <f t="shared" si="3"/>
        <v>4</v>
      </c>
      <c r="L17" s="12">
        <f t="shared" si="4"/>
        <v>17</v>
      </c>
      <c r="M17" s="12" t="str">
        <f t="shared" si="5"/>
        <v>payables@forgeind.com</v>
      </c>
      <c r="N17" s="12" t="str">
        <f t="shared" si="6"/>
        <v>PO-WV-18731</v>
      </c>
      <c r="O17" s="12" t="str">
        <f t="shared" si="7"/>
        <v>FRG|2026|HQ|00541</v>
      </c>
      <c r="P17" s="12">
        <f t="shared" si="8"/>
        <v>21</v>
      </c>
      <c r="Q17" s="12">
        <f t="shared" si="9"/>
        <v>14</v>
      </c>
      <c r="R17" s="12">
        <f t="shared" si="10"/>
        <v>8</v>
      </c>
      <c r="S17" s="12">
        <f t="shared" si="11"/>
        <v>2026</v>
      </c>
      <c r="T17" s="12" t="e">
        <f t="shared" ca="1" si="12"/>
        <v>#NAME?</v>
      </c>
      <c r="U17" s="20">
        <f t="shared" si="13"/>
        <v>46235</v>
      </c>
    </row>
    <row r="18" spans="1:21" ht="15">
      <c r="A18" s="3" t="s">
        <v>192</v>
      </c>
      <c r="B18" s="3" t="s">
        <v>193</v>
      </c>
      <c r="C18" s="3" t="s">
        <v>194</v>
      </c>
      <c r="D18" s="6">
        <v>46252</v>
      </c>
      <c r="E18" s="6">
        <v>46282</v>
      </c>
      <c r="F18" s="4">
        <v>3240.8</v>
      </c>
      <c r="G18" s="3" t="s">
        <v>195</v>
      </c>
      <c r="H18" s="12" t="str">
        <f t="shared" si="0"/>
        <v>GRT</v>
      </c>
      <c r="I18" s="12" t="str">
        <f t="shared" si="1"/>
        <v>00556</v>
      </c>
      <c r="J18" s="12" t="str">
        <f t="shared" si="2"/>
        <v>2026</v>
      </c>
      <c r="K18" s="12">
        <f t="shared" si="3"/>
        <v>4</v>
      </c>
      <c r="L18" s="12">
        <f t="shared" si="4"/>
        <v>17</v>
      </c>
      <c r="M18" s="12" t="str">
        <f t="shared" si="5"/>
        <v>ap@graftontool.com</v>
      </c>
      <c r="N18" s="12" t="str">
        <f t="shared" si="6"/>
        <v>PO-OH-18805</v>
      </c>
      <c r="O18" s="12" t="str">
        <f t="shared" si="7"/>
        <v>GRT|2026|HQ|00556</v>
      </c>
      <c r="P18" s="12">
        <f t="shared" si="8"/>
        <v>23</v>
      </c>
      <c r="Q18" s="12">
        <f t="shared" si="9"/>
        <v>17</v>
      </c>
      <c r="R18" s="12">
        <f t="shared" si="10"/>
        <v>8</v>
      </c>
      <c r="S18" s="12">
        <f t="shared" si="11"/>
        <v>2026</v>
      </c>
      <c r="T18" s="12" t="e">
        <f t="shared" ca="1" si="12"/>
        <v>#NAME?</v>
      </c>
      <c r="U18" s="20">
        <f t="shared" si="13"/>
        <v>46235</v>
      </c>
    </row>
    <row r="19" spans="1:21" ht="30">
      <c r="A19" s="3" t="s">
        <v>196</v>
      </c>
      <c r="B19" s="3" t="s">
        <v>197</v>
      </c>
      <c r="C19" s="3" t="s">
        <v>198</v>
      </c>
      <c r="D19" s="6">
        <v>46254</v>
      </c>
      <c r="E19" s="6">
        <v>46284</v>
      </c>
      <c r="F19" s="4">
        <v>10995.6</v>
      </c>
      <c r="G19" s="3" t="s">
        <v>199</v>
      </c>
      <c r="H19" s="12" t="str">
        <f t="shared" si="0"/>
        <v>HIL</v>
      </c>
      <c r="I19" s="12" t="str">
        <f t="shared" si="1"/>
        <v>00569</v>
      </c>
      <c r="J19" s="12" t="str">
        <f t="shared" si="2"/>
        <v>2026</v>
      </c>
      <c r="K19" s="12">
        <f t="shared" si="3"/>
        <v>4</v>
      </c>
      <c r="L19" s="12">
        <f t="shared" si="4"/>
        <v>17</v>
      </c>
      <c r="M19" s="12" t="str">
        <f t="shared" si="5"/>
        <v>accounting@highlandelec.com</v>
      </c>
      <c r="N19" s="12" t="str">
        <f t="shared" si="6"/>
        <v>PO-PA-18844</v>
      </c>
      <c r="O19" s="12" t="str">
        <f t="shared" si="7"/>
        <v>HIL|2026|HQ|00569</v>
      </c>
      <c r="P19" s="12">
        <f t="shared" si="8"/>
        <v>22</v>
      </c>
      <c r="Q19" s="12">
        <f t="shared" si="9"/>
        <v>19</v>
      </c>
      <c r="R19" s="12">
        <f t="shared" si="10"/>
        <v>8</v>
      </c>
      <c r="S19" s="12">
        <f t="shared" si="11"/>
        <v>2026</v>
      </c>
      <c r="T19" s="12" t="e">
        <f t="shared" ca="1" si="12"/>
        <v>#NAME?</v>
      </c>
      <c r="U19" s="20">
        <f t="shared" si="13"/>
        <v>46235</v>
      </c>
    </row>
    <row r="20" spans="1:21" ht="15">
      <c r="A20" s="3" t="s">
        <v>200</v>
      </c>
      <c r="B20" s="3" t="s">
        <v>201</v>
      </c>
      <c r="C20" s="3" t="s">
        <v>202</v>
      </c>
      <c r="D20" s="6">
        <v>46256</v>
      </c>
      <c r="E20" s="6">
        <v>46286</v>
      </c>
      <c r="F20" s="4">
        <v>1985.35</v>
      </c>
      <c r="G20" s="3" t="s">
        <v>203</v>
      </c>
      <c r="H20" s="12" t="str">
        <f t="shared" si="0"/>
        <v>IVY</v>
      </c>
      <c r="I20" s="12" t="str">
        <f t="shared" si="1"/>
        <v>00583</v>
      </c>
      <c r="J20" s="12" t="str">
        <f t="shared" si="2"/>
        <v>2026</v>
      </c>
      <c r="K20" s="12">
        <f t="shared" si="3"/>
        <v>4</v>
      </c>
      <c r="L20" s="12">
        <f t="shared" si="4"/>
        <v>17</v>
      </c>
      <c r="M20" s="12" t="str">
        <f t="shared" si="5"/>
        <v>ap@ivyoffice.com</v>
      </c>
      <c r="N20" s="12" t="str">
        <f t="shared" si="6"/>
        <v>PO-WV-18902</v>
      </c>
      <c r="O20" s="12" t="str">
        <f t="shared" si="7"/>
        <v>IVY|2026|HQ|00583</v>
      </c>
      <c r="P20" s="12">
        <f t="shared" si="8"/>
        <v>21</v>
      </c>
      <c r="Q20" s="12">
        <f t="shared" si="9"/>
        <v>21</v>
      </c>
      <c r="R20" s="12">
        <f t="shared" si="10"/>
        <v>8</v>
      </c>
      <c r="S20" s="12">
        <f t="shared" si="11"/>
        <v>2026</v>
      </c>
      <c r="T20" s="12" t="e">
        <f t="shared" ca="1" si="12"/>
        <v>#NAME?</v>
      </c>
      <c r="U20" s="20">
        <f t="shared" si="13"/>
        <v>46235</v>
      </c>
    </row>
    <row r="21" spans="1:21" ht="15">
      <c r="A21" s="3" t="s">
        <v>204</v>
      </c>
      <c r="B21" s="3" t="s">
        <v>205</v>
      </c>
      <c r="C21" s="3" t="s">
        <v>206</v>
      </c>
      <c r="D21" s="6">
        <v>46258</v>
      </c>
      <c r="E21" s="6">
        <v>46288</v>
      </c>
      <c r="F21" s="4">
        <v>7310.5</v>
      </c>
      <c r="G21" s="3" t="s">
        <v>207</v>
      </c>
      <c r="H21" s="12" t="str">
        <f t="shared" si="0"/>
        <v>JCT</v>
      </c>
      <c r="I21" s="12" t="str">
        <f t="shared" si="1"/>
        <v>00596</v>
      </c>
      <c r="J21" s="12" t="str">
        <f t="shared" si="2"/>
        <v>2026</v>
      </c>
      <c r="K21" s="12">
        <f t="shared" si="3"/>
        <v>4</v>
      </c>
      <c r="L21" s="12">
        <f t="shared" si="4"/>
        <v>17</v>
      </c>
      <c r="M21" s="12" t="str">
        <f t="shared" si="5"/>
        <v>billing@jctfreight.com</v>
      </c>
      <c r="N21" s="12" t="str">
        <f t="shared" si="6"/>
        <v>PO-KY-18977</v>
      </c>
      <c r="O21" s="12" t="str">
        <f t="shared" si="7"/>
        <v>JCT|2026|HQ|00596</v>
      </c>
      <c r="P21" s="12">
        <f t="shared" si="8"/>
        <v>23</v>
      </c>
      <c r="Q21" s="12">
        <f t="shared" si="9"/>
        <v>23</v>
      </c>
      <c r="R21" s="12">
        <f t="shared" si="10"/>
        <v>8</v>
      </c>
      <c r="S21" s="12">
        <f t="shared" si="11"/>
        <v>2026</v>
      </c>
      <c r="T21" s="12" t="e">
        <f t="shared" ca="1" si="12"/>
        <v>#NAME?</v>
      </c>
      <c r="U21" s="20">
        <f t="shared" si="13"/>
        <v>46235</v>
      </c>
    </row>
    <row r="22" spans="1:21" ht="58.75" customHeight="1">
      <c r="A22" s="8"/>
      <c r="B22" s="8"/>
      <c r="C22" s="8"/>
      <c r="D22" s="8"/>
      <c r="E22" s="8"/>
      <c r="F22" s="8"/>
      <c r="G22" s="8"/>
      <c r="H22" s="9" t="s">
        <v>208</v>
      </c>
      <c r="I22" s="9" t="s">
        <v>209</v>
      </c>
      <c r="J22" s="9" t="s">
        <v>210</v>
      </c>
      <c r="K22" s="9" t="s">
        <v>211</v>
      </c>
      <c r="L22" s="9" t="s">
        <v>212</v>
      </c>
      <c r="M22" s="9" t="s">
        <v>67</v>
      </c>
      <c r="N22" s="9" t="s">
        <v>213</v>
      </c>
      <c r="O22" s="9" t="s">
        <v>214</v>
      </c>
      <c r="P22" s="9" t="s">
        <v>215</v>
      </c>
      <c r="Q22" s="9" t="s">
        <v>216</v>
      </c>
      <c r="R22" s="9" t="s">
        <v>217</v>
      </c>
      <c r="S22" s="9" t="s">
        <v>218</v>
      </c>
      <c r="T22" s="9" t="s">
        <v>219</v>
      </c>
      <c r="U22" s="9" t="s">
        <v>220</v>
      </c>
    </row>
    <row r="23" spans="1:21">
      <c r="A23" s="8"/>
      <c r="B23" s="8"/>
      <c r="C23" s="8"/>
      <c r="D23" s="8"/>
      <c r="E23" s="8"/>
      <c r="F23" s="8"/>
      <c r="G23" s="8"/>
      <c r="H23" s="8"/>
      <c r="I23" s="8"/>
      <c r="J23" s="8"/>
      <c r="K23" s="8"/>
      <c r="L23" s="8"/>
      <c r="M23" s="8"/>
      <c r="N23" s="8"/>
      <c r="O23" s="8"/>
      <c r="P23" s="8"/>
      <c r="Q23" s="8"/>
      <c r="R23" s="8"/>
      <c r="S23" s="8"/>
      <c r="T23" s="8"/>
      <c r="U23" s="8"/>
    </row>
    <row r="24" spans="1:21">
      <c r="A24" s="8"/>
      <c r="B24" s="8"/>
      <c r="C24" s="8"/>
      <c r="D24" s="8"/>
      <c r="E24" s="8"/>
      <c r="F24" s="8"/>
      <c r="G24" s="8"/>
      <c r="H24" s="8"/>
      <c r="I24" s="8"/>
      <c r="J24" s="8"/>
      <c r="K24" s="8"/>
      <c r="L24" s="8"/>
      <c r="M24" s="8"/>
      <c r="N24" s="8"/>
      <c r="O24" s="8"/>
      <c r="P24" s="8"/>
      <c r="Q24" s="8"/>
      <c r="R24" s="8"/>
      <c r="S24" s="8"/>
      <c r="T24" s="8"/>
      <c r="U24" s="8"/>
    </row>
    <row r="25" spans="1:21">
      <c r="A25" s="24" t="s">
        <v>74</v>
      </c>
      <c r="B25" s="24"/>
      <c r="C25" s="24"/>
      <c r="D25" s="8"/>
      <c r="E25" s="8"/>
      <c r="F25" s="8"/>
      <c r="G25" s="8"/>
      <c r="H25" s="8"/>
      <c r="I25" s="8"/>
      <c r="J25" s="8"/>
      <c r="K25" s="8"/>
      <c r="L25" s="8"/>
      <c r="M25" s="8"/>
      <c r="N25" s="8"/>
      <c r="O25" s="8"/>
      <c r="P25" s="8"/>
      <c r="Q25" s="8"/>
      <c r="R25" s="8"/>
      <c r="S25" s="8"/>
      <c r="T25" s="8"/>
      <c r="U25" s="8"/>
    </row>
    <row r="26" spans="1:21" ht="15">
      <c r="A26" s="12" t="s">
        <v>221</v>
      </c>
      <c r="B26" s="14">
        <f>SUM(F12:F21)</f>
        <v>93944.550000000017</v>
      </c>
      <c r="C26" s="9" t="s">
        <v>222</v>
      </c>
      <c r="D26" s="8"/>
      <c r="E26" s="8"/>
      <c r="F26" s="8"/>
      <c r="G26" s="8"/>
      <c r="H26" s="8"/>
      <c r="I26" s="8"/>
      <c r="J26" s="8"/>
      <c r="K26" s="8"/>
      <c r="L26" s="8"/>
      <c r="M26" s="8"/>
      <c r="N26" s="8"/>
      <c r="O26" s="8"/>
      <c r="P26" s="8"/>
      <c r="Q26" s="8"/>
      <c r="R26" s="8"/>
      <c r="S26" s="8"/>
      <c r="T26" s="8"/>
      <c r="U26" s="8"/>
    </row>
    <row r="27" spans="1:21" ht="15">
      <c r="A27" s="12" t="s">
        <v>223</v>
      </c>
      <c r="B27" s="15">
        <f>COUNT(F12:F21)</f>
        <v>10</v>
      </c>
      <c r="C27" s="9" t="s">
        <v>224</v>
      </c>
      <c r="D27" s="8"/>
      <c r="E27" s="8"/>
      <c r="F27" s="8"/>
      <c r="G27" s="8"/>
      <c r="H27" s="8"/>
      <c r="I27" s="8"/>
      <c r="J27" s="8"/>
      <c r="K27" s="8"/>
      <c r="L27" s="8"/>
      <c r="M27" s="8"/>
      <c r="N27" s="8"/>
      <c r="O27" s="8"/>
      <c r="P27" s="8"/>
      <c r="Q27" s="8"/>
      <c r="R27" s="8"/>
      <c r="S27" s="8"/>
      <c r="T27" s="8"/>
      <c r="U27" s="8"/>
    </row>
    <row r="28" spans="1:21" ht="15">
      <c r="A28" s="12" t="s">
        <v>225</v>
      </c>
      <c r="B28" s="15">
        <f>COUNTA(B12:B21)</f>
        <v>10</v>
      </c>
      <c r="C28" s="9" t="s">
        <v>226</v>
      </c>
      <c r="D28" s="8"/>
      <c r="E28" s="8"/>
      <c r="F28" s="8"/>
      <c r="G28" s="8"/>
      <c r="H28" s="8"/>
      <c r="I28" s="8"/>
      <c r="J28" s="8"/>
      <c r="K28" s="8"/>
      <c r="L28" s="8"/>
      <c r="M28" s="8"/>
      <c r="N28" s="8"/>
      <c r="O28" s="8"/>
      <c r="P28" s="8"/>
      <c r="Q28" s="8"/>
      <c r="R28" s="8"/>
      <c r="S28" s="8"/>
      <c r="T28" s="8"/>
      <c r="U28" s="8"/>
    </row>
    <row r="29" spans="1:21" ht="15">
      <c r="A29" s="12" t="s">
        <v>227</v>
      </c>
      <c r="B29" s="14">
        <f>AVERAGE(F12:F21)</f>
        <v>9394.4550000000017</v>
      </c>
      <c r="C29" s="9" t="s">
        <v>228</v>
      </c>
      <c r="D29" s="8"/>
      <c r="E29" s="8"/>
      <c r="F29" s="8"/>
      <c r="G29" s="8"/>
      <c r="H29" s="8"/>
      <c r="I29" s="8"/>
      <c r="J29" s="8"/>
      <c r="K29" s="8"/>
      <c r="L29" s="8"/>
      <c r="M29" s="8"/>
      <c r="N29" s="8"/>
      <c r="O29" s="8"/>
      <c r="P29" s="8"/>
      <c r="Q29" s="8"/>
      <c r="R29" s="8"/>
      <c r="S29" s="8"/>
      <c r="T29" s="8"/>
      <c r="U29" s="8"/>
    </row>
    <row r="30" spans="1:21" ht="15">
      <c r="A30" s="12" t="s">
        <v>229</v>
      </c>
      <c r="B30" s="14">
        <f>MIN(F12:F21)</f>
        <v>1985.35</v>
      </c>
      <c r="C30" s="9" t="s">
        <v>230</v>
      </c>
      <c r="D30" s="8"/>
      <c r="E30" s="8"/>
      <c r="F30" s="8"/>
      <c r="G30" s="8"/>
      <c r="H30" s="8"/>
      <c r="I30" s="8"/>
      <c r="J30" s="8"/>
      <c r="K30" s="8"/>
      <c r="L30" s="8"/>
      <c r="M30" s="8"/>
      <c r="N30" s="8"/>
      <c r="O30" s="8"/>
      <c r="P30" s="8"/>
      <c r="Q30" s="8"/>
      <c r="R30" s="8"/>
      <c r="S30" s="8"/>
      <c r="T30" s="8"/>
      <c r="U30" s="8"/>
    </row>
    <row r="31" spans="1:21" ht="15">
      <c r="A31" s="12" t="s">
        <v>231</v>
      </c>
      <c r="B31" s="14">
        <f>MAX(F12:F21)</f>
        <v>21975.4</v>
      </c>
      <c r="C31" s="9" t="s">
        <v>232</v>
      </c>
      <c r="D31" s="8"/>
      <c r="E31" s="8"/>
      <c r="F31" s="8"/>
      <c r="G31" s="8"/>
      <c r="H31" s="8"/>
      <c r="I31" s="8"/>
      <c r="J31" s="8"/>
      <c r="K31" s="8"/>
      <c r="L31" s="8"/>
      <c r="M31" s="8"/>
      <c r="N31" s="8"/>
      <c r="O31" s="8"/>
      <c r="P31" s="8"/>
      <c r="Q31" s="8"/>
      <c r="R31" s="8"/>
      <c r="S31" s="8"/>
      <c r="T31" s="8"/>
      <c r="U31" s="8"/>
    </row>
    <row r="32" spans="1:21">
      <c r="A32" s="8"/>
      <c r="B32" s="8"/>
      <c r="C32" s="8"/>
      <c r="D32" s="8"/>
      <c r="E32" s="8"/>
      <c r="F32" s="8"/>
      <c r="G32" s="8"/>
      <c r="H32" s="8"/>
      <c r="I32" s="8"/>
      <c r="J32" s="8"/>
      <c r="K32" s="8"/>
      <c r="L32" s="8"/>
      <c r="M32" s="8"/>
      <c r="N32" s="8"/>
      <c r="O32" s="8"/>
      <c r="P32" s="8"/>
      <c r="Q32" s="8"/>
      <c r="R32" s="8"/>
      <c r="S32" s="8"/>
      <c r="T32" s="8"/>
      <c r="U32" s="8"/>
    </row>
    <row r="33" spans="1:21">
      <c r="A33" s="8"/>
      <c r="B33" s="8"/>
      <c r="C33" s="8"/>
      <c r="D33" s="8"/>
      <c r="E33" s="8"/>
      <c r="F33" s="8"/>
      <c r="G33" s="8"/>
      <c r="H33" s="8"/>
      <c r="I33" s="8"/>
      <c r="J33" s="8"/>
      <c r="K33" s="8"/>
      <c r="L33" s="8"/>
      <c r="M33" s="8"/>
      <c r="N33" s="8"/>
      <c r="O33" s="8"/>
      <c r="P33" s="8"/>
      <c r="Q33" s="8"/>
      <c r="R33" s="8"/>
      <c r="S33" s="8"/>
      <c r="T33" s="8"/>
      <c r="U33" s="8"/>
    </row>
    <row r="34" spans="1:21">
      <c r="A34" s="8"/>
      <c r="B34" s="8"/>
      <c r="C34" s="8"/>
      <c r="D34" s="8"/>
      <c r="E34" s="8"/>
      <c r="F34" s="8"/>
      <c r="G34" s="8"/>
      <c r="H34" s="8"/>
      <c r="I34" s="8"/>
      <c r="J34" s="8"/>
      <c r="K34" s="8"/>
      <c r="L34" s="8"/>
      <c r="M34" s="8"/>
      <c r="N34" s="8"/>
      <c r="O34" s="8"/>
      <c r="P34" s="8"/>
      <c r="Q34" s="8"/>
      <c r="R34" s="8"/>
      <c r="S34" s="8"/>
      <c r="T34" s="8"/>
      <c r="U34" s="8"/>
    </row>
    <row r="35" spans="1:21">
      <c r="A35" s="8"/>
      <c r="B35" s="8"/>
      <c r="C35" s="8"/>
      <c r="D35" s="8"/>
      <c r="E35" s="8"/>
      <c r="F35" s="8"/>
      <c r="G35" s="8"/>
      <c r="H35" s="8"/>
      <c r="I35" s="8"/>
      <c r="J35" s="8"/>
      <c r="K35" s="8"/>
      <c r="L35" s="8"/>
      <c r="M35" s="8"/>
      <c r="N35" s="8"/>
      <c r="O35" s="8"/>
      <c r="P35" s="8"/>
      <c r="Q35" s="8"/>
      <c r="R35" s="8"/>
      <c r="S35" s="8"/>
      <c r="T35" s="8"/>
      <c r="U35" s="8"/>
    </row>
    <row r="36" spans="1:21">
      <c r="A36" s="8"/>
      <c r="B36" s="8"/>
      <c r="C36" s="8"/>
      <c r="D36" s="8"/>
      <c r="E36" s="8"/>
      <c r="F36" s="8"/>
      <c r="G36" s="8"/>
      <c r="H36" s="8"/>
      <c r="I36" s="8"/>
      <c r="J36" s="8"/>
      <c r="K36" s="8"/>
      <c r="L36" s="8"/>
      <c r="M36" s="8"/>
      <c r="N36" s="8"/>
      <c r="O36" s="8"/>
      <c r="P36" s="8"/>
      <c r="Q36" s="8"/>
      <c r="R36" s="8"/>
      <c r="S36" s="8"/>
      <c r="T36" s="8"/>
      <c r="U36" s="8"/>
    </row>
    <row r="37" spans="1:21">
      <c r="A37" s="8"/>
      <c r="B37" s="8"/>
      <c r="C37" s="8"/>
      <c r="D37" s="8"/>
      <c r="E37" s="8"/>
      <c r="F37" s="8"/>
      <c r="G37" s="8"/>
      <c r="H37" s="8"/>
      <c r="I37" s="8"/>
      <c r="J37" s="8"/>
      <c r="K37" s="8"/>
      <c r="L37" s="8"/>
      <c r="M37" s="8"/>
      <c r="N37" s="8"/>
      <c r="O37" s="8"/>
      <c r="P37" s="8"/>
      <c r="Q37" s="8"/>
      <c r="R37" s="8"/>
      <c r="S37" s="8"/>
      <c r="T37" s="8"/>
      <c r="U37" s="8"/>
    </row>
    <row r="38" spans="1:21">
      <c r="A38" s="8"/>
      <c r="B38" s="8"/>
      <c r="C38" s="8"/>
      <c r="D38" s="8"/>
      <c r="E38" s="8"/>
      <c r="F38" s="8"/>
      <c r="G38" s="8"/>
      <c r="H38" s="8"/>
      <c r="I38" s="8"/>
      <c r="J38" s="8"/>
      <c r="K38" s="8"/>
      <c r="L38" s="8"/>
      <c r="M38" s="8"/>
      <c r="N38" s="8"/>
      <c r="O38" s="8"/>
      <c r="P38" s="8"/>
      <c r="Q38" s="8"/>
      <c r="R38" s="8"/>
      <c r="S38" s="8"/>
      <c r="T38" s="8"/>
      <c r="U38" s="8"/>
    </row>
    <row r="39" spans="1:21">
      <c r="A39" s="8"/>
      <c r="B39" s="8"/>
      <c r="C39" s="8"/>
      <c r="D39" s="8"/>
      <c r="E39" s="8"/>
      <c r="F39" s="8"/>
      <c r="G39" s="8"/>
      <c r="H39" s="8"/>
      <c r="I39" s="8"/>
      <c r="J39" s="8"/>
      <c r="K39" s="8"/>
      <c r="L39" s="8"/>
      <c r="M39" s="8"/>
      <c r="N39" s="8"/>
      <c r="O39" s="8"/>
      <c r="P39" s="8"/>
      <c r="Q39" s="8"/>
      <c r="R39" s="8"/>
      <c r="S39" s="8"/>
      <c r="T39" s="8"/>
      <c r="U39" s="8"/>
    </row>
    <row r="40" spans="1:21">
      <c r="A40" s="8"/>
      <c r="B40" s="8"/>
      <c r="C40" s="8"/>
      <c r="D40" s="8"/>
      <c r="E40" s="8"/>
      <c r="F40" s="8"/>
      <c r="G40" s="8"/>
      <c r="H40" s="8"/>
      <c r="I40" s="8"/>
      <c r="J40" s="8"/>
      <c r="K40" s="8"/>
      <c r="L40" s="8"/>
      <c r="M40" s="8"/>
      <c r="N40" s="8"/>
      <c r="O40" s="8"/>
      <c r="P40" s="8"/>
      <c r="Q40" s="8"/>
      <c r="R40" s="8"/>
      <c r="S40" s="8"/>
      <c r="T40" s="8"/>
      <c r="U40" s="8"/>
    </row>
  </sheetData>
  <mergeCells count="6">
    <mergeCell ref="A25:C25"/>
    <mergeCell ref="A1:U1"/>
    <mergeCell ref="A3:U4"/>
    <mergeCell ref="A6:U6"/>
    <mergeCell ref="A7:U8"/>
    <mergeCell ref="A9:U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Retail Orders</vt:lpstr>
      <vt:lpstr>1 Retail Solution</vt:lpstr>
      <vt:lpstr>2 Project Schedule</vt:lpstr>
      <vt:lpstr>2 Project Solution</vt:lpstr>
      <vt:lpstr>3 AP Invoices</vt:lpstr>
      <vt:lpstr>3 AP Solution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 Garrett</cp:lastModifiedBy>
  <dcterms:modified xsi:type="dcterms:W3CDTF">2026-08-25T17:18:21Z</dcterms:modified>
</cp:coreProperties>
</file>