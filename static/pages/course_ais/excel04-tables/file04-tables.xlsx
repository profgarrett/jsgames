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321 Fall 2026/_shared/Excel files/"/>
    </mc:Choice>
  </mc:AlternateContent>
  <xr:revisionPtr revIDLastSave="0" documentId="8_{8DD730A2-C00A-A047-AC06-747F5D292C81}" xr6:coauthVersionLast="47" xr6:coauthVersionMax="47" xr10:uidLastSave="{00000000-0000-0000-0000-000000000000}"/>
  <bookViews>
    <workbookView xWindow="64680" yWindow="-10460" windowWidth="25480" windowHeight="20840" tabRatio="500" xr2:uid="{00000000-000D-0000-FFFF-FFFF00000000}"/>
  </bookViews>
  <sheets>
    <sheet name="Outcomes" sheetId="1" r:id="rId1"/>
    <sheet name="Table" sheetId="7" r:id="rId2"/>
    <sheet name="Freeze Example" sheetId="4" r:id="rId3"/>
    <sheet name="Xlookup and Vlookup" sheetId="5" r:id="rId4"/>
    <sheet name="Pivot" sheetId="8" r:id="rId5"/>
    <sheet name="Table - Somerville" sheetId="6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5" l="1"/>
  <c r="F13" i="5"/>
  <c r="F14" i="5"/>
  <c r="F15" i="5"/>
  <c r="F16" i="5"/>
  <c r="F17" i="5"/>
  <c r="F18" i="5"/>
  <c r="F19" i="5"/>
  <c r="F20" i="5"/>
  <c r="F21" i="5"/>
  <c r="F22" i="5"/>
  <c r="F11" i="5"/>
  <c r="E12" i="5" a="1"/>
  <c r="E13" i="5" a="1"/>
  <c r="E14" i="5" a="1"/>
  <c r="E15" i="5" a="1"/>
  <c r="E16" i="5" a="1"/>
  <c r="E17" i="5" a="1"/>
  <c r="E18" i="5" a="1"/>
  <c r="E19" i="5" a="1"/>
  <c r="E20" i="5" a="1"/>
  <c r="E21" i="5" a="1"/>
  <c r="E22" i="5" a="1"/>
  <c r="E11" i="5" a="1"/>
  <c r="D12" i="5"/>
  <c r="D13" i="5"/>
  <c r="D14" i="5"/>
  <c r="D15" i="5"/>
  <c r="D16" i="5"/>
  <c r="D17" i="5"/>
  <c r="D18" i="5"/>
  <c r="D19" i="5"/>
  <c r="D20" i="5"/>
  <c r="D21" i="5"/>
  <c r="D22" i="5"/>
  <c r="D11" i="5"/>
  <c r="C12" i="5"/>
  <c r="C13" i="5"/>
  <c r="C14" i="5"/>
  <c r="C15" i="5"/>
  <c r="C16" i="5"/>
  <c r="C17" i="5"/>
  <c r="C18" i="5"/>
  <c r="C19" i="5"/>
  <c r="C20" i="5"/>
  <c r="C21" i="5"/>
  <c r="C22" i="5"/>
  <c r="C11" i="5"/>
  <c r="C31" i="5"/>
  <c r="B32" i="5"/>
  <c r="C32" i="5" s="1"/>
  <c r="F6" i="5"/>
  <c r="E7" i="5"/>
  <c r="D8" i="5"/>
  <c r="C9" i="5"/>
  <c r="B33" i="5" l="1"/>
  <c r="B34" i="5" l="1"/>
  <c r="C33" i="5"/>
  <c r="B35" i="5" l="1"/>
  <c r="C34" i="5"/>
  <c r="B36" i="5" l="1"/>
  <c r="C35" i="5"/>
  <c r="B37" i="5" l="1"/>
  <c r="C36" i="5"/>
  <c r="B38" i="5" l="1"/>
  <c r="C37" i="5"/>
  <c r="B39" i="5" l="1"/>
  <c r="C38" i="5"/>
  <c r="B40" i="5" l="1"/>
  <c r="C39" i="5"/>
  <c r="B41" i="5" l="1"/>
  <c r="C40" i="5"/>
  <c r="B42" i="5" l="1"/>
  <c r="C41" i="5"/>
  <c r="B43" i="5" l="1"/>
  <c r="C42" i="5"/>
  <c r="B44" i="5" l="1"/>
  <c r="C43" i="5"/>
  <c r="B45" i="5" l="1"/>
  <c r="C44" i="5"/>
  <c r="B46" i="5" l="1"/>
  <c r="C45" i="5"/>
  <c r="C46" i="5" l="1"/>
  <c r="B47" i="5"/>
  <c r="C47" i="5" l="1"/>
  <c r="B48" i="5"/>
  <c r="C48" i="5" l="1"/>
  <c r="B49" i="5"/>
  <c r="C4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<sst xmlns="http://schemas.openxmlformats.org/spreadsheetml/2006/main" count="3165" uniqueCount="1870">
  <si>
    <t>Name</t>
  </si>
  <si>
    <t>Freeze rows 1-2 and columns A:B</t>
  </si>
  <si>
    <t>Responses</t>
  </si>
  <si>
    <t>Questions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</si>
  <si>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</si>
  <si>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</si>
  <si>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</si>
  <si>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</si>
  <si>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</si>
  <si>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</si>
  <si>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</si>
  <si>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</si>
  <si>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</si>
  <si>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</si>
  <si>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</si>
  <si>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</si>
  <si>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Tables</t>
  </si>
  <si>
    <t>Position Title</t>
  </si>
  <si>
    <t>2019 TOTAL GROSS</t>
  </si>
  <si>
    <t>Total Regular</t>
  </si>
  <si>
    <t>Total Overtime</t>
  </si>
  <si>
    <t>Total Detail</t>
  </si>
  <si>
    <t>Total Other Pay</t>
  </si>
  <si>
    <t>REDACTED</t>
  </si>
  <si>
    <t>POLICE OFFICER</t>
  </si>
  <si>
    <t>HALLINAN, WILLIAM</t>
  </si>
  <si>
    <t>FIRE DEPUTY CHIEF</t>
  </si>
  <si>
    <t>LAVEY, RICHARD</t>
  </si>
  <si>
    <t>POLICE CAPTAIN</t>
  </si>
  <si>
    <t>SKIPPER, MARY</t>
  </si>
  <si>
    <t>SUPERINTENDENT OF SCHOOLS</t>
  </si>
  <si>
    <t>VIVOLO, CARMINE</t>
  </si>
  <si>
    <t>POLICE LIEUTENANT</t>
  </si>
  <si>
    <t>GOBIEL, JOHN</t>
  </si>
  <si>
    <t>POLICE SERGEANT</t>
  </si>
  <si>
    <t>LORENTI, ALEXANDER</t>
  </si>
  <si>
    <t>WHALEN, SCOTT</t>
  </si>
  <si>
    <t>DEOLIVEIRA, DIOGO</t>
  </si>
  <si>
    <t>MARINO, JOHN</t>
  </si>
  <si>
    <t>AVERY, MICHAEL</t>
  </si>
  <si>
    <t>FALLON, DAVID</t>
  </si>
  <si>
    <t>POLICE CHIEF</t>
  </si>
  <si>
    <t>TIERNEY, SEAN</t>
  </si>
  <si>
    <t>CICERONE, FERNANDO</t>
  </si>
  <si>
    <t>FORREST, WALLACE</t>
  </si>
  <si>
    <t>BREEN, CHARLES</t>
  </si>
  <si>
    <t>FIRE CHIEF ENGINEER</t>
  </si>
  <si>
    <t>LUCIA, JAMES</t>
  </si>
  <si>
    <t>STILTNER, DAVID</t>
  </si>
  <si>
    <t>FIRE CAPTAIN</t>
  </si>
  <si>
    <t>BROWNE, MICHAEL</t>
  </si>
  <si>
    <t>MOTOR EQUIP REPAIRMAN FOREMAN</t>
  </si>
  <si>
    <t>CAPASSO, MICHAEL</t>
  </si>
  <si>
    <t>LAMPLEY, VINCENT</t>
  </si>
  <si>
    <t>WARD, CHRISTOPHER</t>
  </si>
  <si>
    <t>LEE, FRANK</t>
  </si>
  <si>
    <t>FIRE DISTRICT CHIEF</t>
  </si>
  <si>
    <t>MAJOR, CHRISTOPHER</t>
  </si>
  <si>
    <t>COSTA, SERGIO</t>
  </si>
  <si>
    <t>SLATTERY, JAMES</t>
  </si>
  <si>
    <t>MCCARTHY, ROBERT</t>
  </si>
  <si>
    <t>STANFORD, JAMES</t>
  </si>
  <si>
    <t>POLICE DEPUTY CHIEF</t>
  </si>
  <si>
    <t>ANZALONE, MICHAEL</t>
  </si>
  <si>
    <t>KERNER, ELLIOT</t>
  </si>
  <si>
    <t>FIRE LIEUTENTANT</t>
  </si>
  <si>
    <t>KEANE JR, JOHN</t>
  </si>
  <si>
    <t>HOWE, JOHN</t>
  </si>
  <si>
    <t>BARRY, THOMAS</t>
  </si>
  <si>
    <t>FOREMAN - SMEA A</t>
  </si>
  <si>
    <t>CARRABINO, STEPHEN</t>
  </si>
  <si>
    <t>FRENCH, GREGORY</t>
  </si>
  <si>
    <t>WALL, MATTHEW</t>
  </si>
  <si>
    <t>HOLLAND, MICHAEL</t>
  </si>
  <si>
    <t>MAURAS, STEVEN</t>
  </si>
  <si>
    <t>SILVA, KENNETH</t>
  </si>
  <si>
    <t>DEVELLIS, VINCENT</t>
  </si>
  <si>
    <t>ARDOLINO, MARC</t>
  </si>
  <si>
    <t>CANTY, PATRICK</t>
  </si>
  <si>
    <t>NOLAN, MARK</t>
  </si>
  <si>
    <t>DIGREGORIO, JEFFREY</t>
  </si>
  <si>
    <t>RYMILL JR, WILLIAM</t>
  </si>
  <si>
    <t>CURTATONE, JOSEPH</t>
  </si>
  <si>
    <t>MAYOR</t>
  </si>
  <si>
    <t>JEAN-JACQUES JR, YVON</t>
  </si>
  <si>
    <t>REGO, DANIEL</t>
  </si>
  <si>
    <t>GORMAN, THOMAS</t>
  </si>
  <si>
    <t>TIERNEY, THOMAS</t>
  </si>
  <si>
    <t>KENNELLY, MICHAEL</t>
  </si>
  <si>
    <t>SHACKELFORD, KEVIN</t>
  </si>
  <si>
    <t>KEENAN, JAMES</t>
  </si>
  <si>
    <t>MATTHEWS, MARK</t>
  </si>
  <si>
    <t>DONOVAN, JAMES</t>
  </si>
  <si>
    <t>MITSAKIS, TIMOTHY</t>
  </si>
  <si>
    <t>RIBEIRO, PRISCILLA</t>
  </si>
  <si>
    <t>LEGROS, GUERDY</t>
  </si>
  <si>
    <t>VAN NOSTRAND, TIMOTHY</t>
  </si>
  <si>
    <t>PULLI, MARK</t>
  </si>
  <si>
    <t>SHEEHAN, SEAN</t>
  </si>
  <si>
    <t>COSTA, JASON</t>
  </si>
  <si>
    <t>FITZPATRICK, WILLIAM</t>
  </si>
  <si>
    <t>JOHNSON, STEVEN</t>
  </si>
  <si>
    <t>MACMULLIN, BRIAN</t>
  </si>
  <si>
    <t>HYDE, JAMES</t>
  </si>
  <si>
    <t>RODERICK, JAMES</t>
  </si>
  <si>
    <t>LAGAMBINA, SEBASTIAN</t>
  </si>
  <si>
    <t>PRINCIPAL</t>
  </si>
  <si>
    <t>HOUGHTON, CHARLES</t>
  </si>
  <si>
    <t>THERMIDOR, JONATHAN</t>
  </si>
  <si>
    <t>RYMILL, GERARD</t>
  </si>
  <si>
    <t>JONES, STEPHEN</t>
  </si>
  <si>
    <t>KEANE, SEAN</t>
  </si>
  <si>
    <t>BELSKI, STEPHEN</t>
  </si>
  <si>
    <t>MONACO, ALAN</t>
  </si>
  <si>
    <t>POLITO, JAMES</t>
  </si>
  <si>
    <t>BYRNE JR, JOHN</t>
  </si>
  <si>
    <t>MOREIRA, JOSEPH</t>
  </si>
  <si>
    <t>RICHARDSON, CHARLES</t>
  </si>
  <si>
    <t>VELNEY, JOSUE</t>
  </si>
  <si>
    <t>KHOURY, MICHAEL</t>
  </si>
  <si>
    <t>WRIGHT, FRANCIS</t>
  </si>
  <si>
    <t>CITY SOLICITOR</t>
  </si>
  <si>
    <t>O'MEARA, ROSS</t>
  </si>
  <si>
    <t>DIPALMA, DANIEL</t>
  </si>
  <si>
    <t>MAZZA, CHAD</t>
  </si>
  <si>
    <t>ASSISTANT SUPT OF SCHOOLS</t>
  </si>
  <si>
    <t>BONNER, JUSTIN</t>
  </si>
  <si>
    <t>GONCALVES, CASSANDRA</t>
  </si>
  <si>
    <t>BERROUET, WOLFF</t>
  </si>
  <si>
    <t>PANTANELLA, DAVID</t>
  </si>
  <si>
    <t>FIRE FIGHTER</t>
  </si>
  <si>
    <t>ANGIULO, ANTHONY</t>
  </si>
  <si>
    <t>FACILITIES SUPERVISOR</t>
  </si>
  <si>
    <t>GOVER, GIRARD</t>
  </si>
  <si>
    <t>MESSAOUDI, SAMIR</t>
  </si>
  <si>
    <t>FLYNN, TIMOTHY</t>
  </si>
  <si>
    <t>BAKEY, TIMOTHY</t>
  </si>
  <si>
    <t>BRIOSO, DOUGLAS</t>
  </si>
  <si>
    <t>TORRES, JAMES</t>
  </si>
  <si>
    <t>FRENCH JR, PAUL</t>
  </si>
  <si>
    <t>FIRE LIEUTENTANT/COACHES/GAME WORKERS</t>
  </si>
  <si>
    <t>O'DONOVAN, BRIAN</t>
  </si>
  <si>
    <t>FIRE CAPTAIN/COACHES GAME WORKERS</t>
  </si>
  <si>
    <t>MACLAUGHLAN, ROBERT</t>
  </si>
  <si>
    <t>DESIMONE, LEO</t>
  </si>
  <si>
    <t>HS ASSISTANT PRINCIPAL VOC</t>
  </si>
  <si>
    <t>BEAN, EDWARD</t>
  </si>
  <si>
    <t>FINANCE DIRECTOR /CITY AUDITOR/RETIREMENT BOARD MEMBER</t>
  </si>
  <si>
    <t>NOLAN, DEREK</t>
  </si>
  <si>
    <t>DOTTIN, DERRICK</t>
  </si>
  <si>
    <t>ALCARAZ, BLANCA</t>
  </si>
  <si>
    <t>PROAKIS, GEORGE</t>
  </si>
  <si>
    <t>EXCECUTIVE DIRECTOR OSPCD</t>
  </si>
  <si>
    <t>TEIXEIRA, GARY</t>
  </si>
  <si>
    <t>MOREIRA, NICHOLAS</t>
  </si>
  <si>
    <t>TREVISONE, CHRISTINE</t>
  </si>
  <si>
    <t>DIRECTOR OF SPECIAL EDUCATION</t>
  </si>
  <si>
    <t>TAYLOR, DENISE</t>
  </si>
  <si>
    <t>DIRECTOR OF COMMUNICATIONS</t>
  </si>
  <si>
    <t>COOPER, CANDACE</t>
  </si>
  <si>
    <t>DIRECTOR OF HUMAN RESOURCES</t>
  </si>
  <si>
    <t>WINTER, KARL</t>
  </si>
  <si>
    <t>WORKING FOREMAN</t>
  </si>
  <si>
    <t>HURRIE, MARK</t>
  </si>
  <si>
    <t>SOTO, GLENDA</t>
  </si>
  <si>
    <t>MELILLO, RICHARD</t>
  </si>
  <si>
    <t>NON UNION HOURLY</t>
  </si>
  <si>
    <t>COTTER, BERNARD</t>
  </si>
  <si>
    <t>HALLORAN, PATRICK</t>
  </si>
  <si>
    <t>GORSKI, FRANCIS</t>
  </si>
  <si>
    <t>FINANCE DIRECTOR</t>
  </si>
  <si>
    <t>ALFANO, DAVID</t>
  </si>
  <si>
    <t>MARINO, MICHAEL</t>
  </si>
  <si>
    <t>QUINN, STEVEN</t>
  </si>
  <si>
    <t>DAVILA, SARAH</t>
  </si>
  <si>
    <t>DISTRICT ADMIN ELE PROGRAM</t>
  </si>
  <si>
    <t>BRESLIN, JOHN</t>
  </si>
  <si>
    <t>SYSTEMS &amp; DATABASE ADMIN</t>
  </si>
  <si>
    <t>GREEN, MARGARET</t>
  </si>
  <si>
    <t>LAYTON, KENNETH</t>
  </si>
  <si>
    <t>COLBERT, JOHN</t>
  </si>
  <si>
    <t>OTTING, FRANCIS</t>
  </si>
  <si>
    <t>ANDERSON, PAUL</t>
  </si>
  <si>
    <t>ISAACS, RANDY</t>
  </si>
  <si>
    <t>SEWARD, KATHLEEN</t>
  </si>
  <si>
    <t>SYLVESTER, SEAN</t>
  </si>
  <si>
    <t>ISIDORO, RICO</t>
  </si>
  <si>
    <t>CLARK, CHRISTOPHER</t>
  </si>
  <si>
    <t>MAGUIRE, SHAWN</t>
  </si>
  <si>
    <t>PICCIRELLI, CHERYL</t>
  </si>
  <si>
    <t>KEANE, PATRICK</t>
  </si>
  <si>
    <t>PAVAO, BRIAN</t>
  </si>
  <si>
    <t>BELLINI, THOMAS</t>
  </si>
  <si>
    <t>CALI, KRISTOFER</t>
  </si>
  <si>
    <t>HARTSGROVE, ROBERT</t>
  </si>
  <si>
    <t>CATATAO, ASHLEY</t>
  </si>
  <si>
    <t>GALVIN JR, ROBERT</t>
  </si>
  <si>
    <t>SANCHEZ, GERMAN</t>
  </si>
  <si>
    <t>WYATT, MICHAEL</t>
  </si>
  <si>
    <t>DONOVAN, JOHN</t>
  </si>
  <si>
    <t>CARROLL, CHRISTOPHER</t>
  </si>
  <si>
    <t>BARCLAY, RICHARD</t>
  </si>
  <si>
    <t>O'CONNELL, JOHN</t>
  </si>
  <si>
    <t>CICOLINI, ANTONIO</t>
  </si>
  <si>
    <t>SULLIVAN, DENNIS</t>
  </si>
  <si>
    <t>DACOSTA, EDNA</t>
  </si>
  <si>
    <t>GUELPA, CHRISTINE</t>
  </si>
  <si>
    <t>RINFRET, SUZANNE</t>
  </si>
  <si>
    <t>DIRECTOR OF PARKING</t>
  </si>
  <si>
    <t>ELPIDOFOROS, PATRICIA</t>
  </si>
  <si>
    <t>ROSS, THOMAS</t>
  </si>
  <si>
    <t>FIRE FIGHTER/RETIREMENT BOARD MEMBER</t>
  </si>
  <si>
    <t>VELNEY, JOCELYN</t>
  </si>
  <si>
    <t>PASQUALINO, ROBERT</t>
  </si>
  <si>
    <t>GILLIS, PAUL</t>
  </si>
  <si>
    <t>PERRONE, MICHAEL</t>
  </si>
  <si>
    <t>KIELY, MICHAEL</t>
  </si>
  <si>
    <t>NONNI, PAUL</t>
  </si>
  <si>
    <t>SR BUILDING INSPECTOR</t>
  </si>
  <si>
    <t>PATRIQUIN, ANDREW</t>
  </si>
  <si>
    <t>LIPPENS, KENNETH</t>
  </si>
  <si>
    <t>WOODS, KAREN</t>
  </si>
  <si>
    <t>ADMINISTRATOR LEADERSHIP PROG</t>
  </si>
  <si>
    <t>LAUDANO, JOSEPH</t>
  </si>
  <si>
    <t>FIRE FIGHTER/COACHES/GAME WORKERS</t>
  </si>
  <si>
    <t>HALEY, DANIEL</t>
  </si>
  <si>
    <t>SULLIVAN, TIMOTHY</t>
  </si>
  <si>
    <t>MCDAID, KATHRYN</t>
  </si>
  <si>
    <t>LAYTON, SEAN</t>
  </si>
  <si>
    <t>RADOCHIA, JAMES</t>
  </si>
  <si>
    <t>MARTINI, LEO</t>
  </si>
  <si>
    <t>EPPS, RYAN</t>
  </si>
  <si>
    <t>ANAYA, ROBERT</t>
  </si>
  <si>
    <t>MANCINI, LAUREN</t>
  </si>
  <si>
    <t>FOOD SERVICE DIRECTOR</t>
  </si>
  <si>
    <t>PEREZ JIMENEZ, ROGER</t>
  </si>
  <si>
    <t>FUSCO JR, SALVATORE</t>
  </si>
  <si>
    <t>REECE, COURTNEY</t>
  </si>
  <si>
    <t>FARINO, DAVID</t>
  </si>
  <si>
    <t>HUSSEY, THERESA</t>
  </si>
  <si>
    <t>O'BRIEN, ERIC</t>
  </si>
  <si>
    <t>MARCHETTI, HARRY</t>
  </si>
  <si>
    <t>ASSISTANT PRINCIPAL HS</t>
  </si>
  <si>
    <t>SAULNIER, ERIC</t>
  </si>
  <si>
    <t>RAICHE, RICHARD</t>
  </si>
  <si>
    <t>DIRECTOR OF IAM</t>
  </si>
  <si>
    <t>DONOVAN, TIMOTHY</t>
  </si>
  <si>
    <t>CASEY, PATRICK</t>
  </si>
  <si>
    <t>CHAILLE, WARREN</t>
  </si>
  <si>
    <t>KANE, MATTHEW</t>
  </si>
  <si>
    <t>COSTA, WILLIAM</t>
  </si>
  <si>
    <t>DOMINIQUE, MELVIN</t>
  </si>
  <si>
    <t>HAMILTON, BARRY</t>
  </si>
  <si>
    <t>BARRY, PATRICK</t>
  </si>
  <si>
    <t>TAM, JOHN</t>
  </si>
  <si>
    <t>MCKENZIE, JAY</t>
  </si>
  <si>
    <t>HODNETT, ROBERT</t>
  </si>
  <si>
    <t>POPKEN, KARL</t>
  </si>
  <si>
    <t>BECKFORD, PAUL</t>
  </si>
  <si>
    <t>MCCAREY, MICHAEL</t>
  </si>
  <si>
    <t>MOREIRA, PAUL</t>
  </si>
  <si>
    <t>COSTA, DANIEL</t>
  </si>
  <si>
    <t>CANTY, MARK</t>
  </si>
  <si>
    <t>PIWINSKI, JAMES</t>
  </si>
  <si>
    <t>ZANOWSKI, LAURA</t>
  </si>
  <si>
    <t>DEPARTMENT CHAIR</t>
  </si>
  <si>
    <t>GURALNICK, ANDREW</t>
  </si>
  <si>
    <t>LEGUISAMON DEL ROSARIO, KILSARYS</t>
  </si>
  <si>
    <t>KOTY, STANLEY</t>
  </si>
  <si>
    <t>COMMISSIONER OF DPW</t>
  </si>
  <si>
    <t>MARANO, JOEY</t>
  </si>
  <si>
    <t>BORK, CHRISTINE</t>
  </si>
  <si>
    <t>DIFAVA, MARC</t>
  </si>
  <si>
    <t>GALVIN, CHRISTOPHER</t>
  </si>
  <si>
    <t>DORANT, JASON</t>
  </si>
  <si>
    <t>GOULART, KEVIN</t>
  </si>
  <si>
    <t>TKACZUK, ANDREW</t>
  </si>
  <si>
    <t>SWANTON, JAMES</t>
  </si>
  <si>
    <t>CHIEF  FIRE ALARM OPERATOR</t>
  </si>
  <si>
    <t>WALL, MARK</t>
  </si>
  <si>
    <t>KELLEY, THOMAS</t>
  </si>
  <si>
    <t>MOORE, SYLVESTER</t>
  </si>
  <si>
    <t>AMES, CHRISTOPHER</t>
  </si>
  <si>
    <t>ELEMENTARY ASSISTANT PRINCIPAL</t>
  </si>
  <si>
    <t>CURLEY, JEFFREY</t>
  </si>
  <si>
    <t>CHIEF OF STAFF</t>
  </si>
  <si>
    <t>MONTE, DAVID</t>
  </si>
  <si>
    <t>COLLETTE, WALTER</t>
  </si>
  <si>
    <t>RIVERA, JOSEPH</t>
  </si>
  <si>
    <t>REVILLA, RODOLFO</t>
  </si>
  <si>
    <t>GOODRIDGE, DAVID</t>
  </si>
  <si>
    <t>CHIEF INFORMATION OFFICER</t>
  </si>
  <si>
    <t>SAUNDERS, RICHARD</t>
  </si>
  <si>
    <t>SUPERVISOR</t>
  </si>
  <si>
    <t>BAKER, KIMBERLY</t>
  </si>
  <si>
    <t>MATTERA, MICHAEL</t>
  </si>
  <si>
    <t>NOONAN, BRENDAN</t>
  </si>
  <si>
    <t>KUH, LISA</t>
  </si>
  <si>
    <t>EARLY CHILDHOOD DIRECTOR</t>
  </si>
  <si>
    <t>LONG, JOHN</t>
  </si>
  <si>
    <t>CITY  CLERK</t>
  </si>
  <si>
    <t>BOWLER, MICHAEL</t>
  </si>
  <si>
    <t>SUPER BUILDING &amp; GROUNDS</t>
  </si>
  <si>
    <t>KRESS, DOUGLAS</t>
  </si>
  <si>
    <t>DIR HEALTH HUMAN SERVICES</t>
  </si>
  <si>
    <t>JOHNSON III, EARL</t>
  </si>
  <si>
    <t>DESROCHERS, ROGER</t>
  </si>
  <si>
    <t>ST HILAIRE, STEVE</t>
  </si>
  <si>
    <t>COLLAZO, ARIEL</t>
  </si>
  <si>
    <t>KHOURY, MATTHEW</t>
  </si>
  <si>
    <t>GREEN, DARIUS</t>
  </si>
  <si>
    <t>LATHAN, JILL</t>
  </si>
  <si>
    <t>PARKS &amp; RECREATION DIRECTOR</t>
  </si>
  <si>
    <t>SHAPIRO, DAVID</t>
  </si>
  <si>
    <t>DEPUTY CITY SOLICITOR</t>
  </si>
  <si>
    <t>BUSI, RAYMOND</t>
  </si>
  <si>
    <t>DIFRAIA, JAMES</t>
  </si>
  <si>
    <t>WORKING FOREMAN/SHMEO</t>
  </si>
  <si>
    <t>GOSSELIN, COURTNEY</t>
  </si>
  <si>
    <t>COPPOLA, THOMAS</t>
  </si>
  <si>
    <t>DICKIE, PAUL</t>
  </si>
  <si>
    <t>APPARATUS SUPERINTENDENT</t>
  </si>
  <si>
    <t>MEDEIROS, THOMAS</t>
  </si>
  <si>
    <t>LAYTON, RYAN</t>
  </si>
  <si>
    <t>VIVEIROS, FERNANDO</t>
  </si>
  <si>
    <t>HICKEY, ROBERT</t>
  </si>
  <si>
    <t>HENRY, DOUGLAS</t>
  </si>
  <si>
    <t>GIBBONS, SUSAN</t>
  </si>
  <si>
    <t>FOREMAN, MARIE</t>
  </si>
  <si>
    <t>ROBICHAUX, MAUREEN</t>
  </si>
  <si>
    <t>TEACHER - OTHER CLASSROOM</t>
  </si>
  <si>
    <t>REMINGTON, JODI</t>
  </si>
  <si>
    <t>MCDONOUGH, TIMOTHY</t>
  </si>
  <si>
    <t>MOTOR EQ REPAIR FLEET OPER</t>
  </si>
  <si>
    <t>BARRY, JOSEPH</t>
  </si>
  <si>
    <t>DONCASTER, ELIZABETH</t>
  </si>
  <si>
    <t>DIRECTOR OF STUDENT SERVICES</t>
  </si>
  <si>
    <t>O'CONNOR, JOHN</t>
  </si>
  <si>
    <t>DONEGAN, DANIEL</t>
  </si>
  <si>
    <t>FITZGERALD, JOHN</t>
  </si>
  <si>
    <t>O'DONNELL, KEITH</t>
  </si>
  <si>
    <t>MCCANN, JOSHUA</t>
  </si>
  <si>
    <t>SAPORITO, TOMMASO</t>
  </si>
  <si>
    <t>O'HEARN JR, TIMOTHY</t>
  </si>
  <si>
    <t>JEFFERSON, MICHAEL</t>
  </si>
  <si>
    <t>SANTANGELO, FRANK</t>
  </si>
  <si>
    <t>FOREMAN - SMEA B</t>
  </si>
  <si>
    <t>PAPETTI, JOSEPH</t>
  </si>
  <si>
    <t>MCGRATH, MICHAEL</t>
  </si>
  <si>
    <t>CURTIS, MICHAEL</t>
  </si>
  <si>
    <t>MACEACHERN, STEVEN</t>
  </si>
  <si>
    <t>O'HEARN, DANIELLE</t>
  </si>
  <si>
    <t>HAREL, URI</t>
  </si>
  <si>
    <t>COORDINATOR C&amp;I GRD 1-8</t>
  </si>
  <si>
    <t>DELUCA, JOHN</t>
  </si>
  <si>
    <t>DIRECTOR WATER &amp; SEWER</t>
  </si>
  <si>
    <t>KIRYLO, MATTHEW</t>
  </si>
  <si>
    <t>PIANTIGINI, CATHERINE</t>
  </si>
  <si>
    <t>DIRECTOR OF LIBRARIES</t>
  </si>
  <si>
    <t>CARABALLO, FELIX</t>
  </si>
  <si>
    <t>HAVERTY, JOHN</t>
  </si>
  <si>
    <t>DUCASSE-AYALA, JUAN</t>
  </si>
  <si>
    <t>BONNELL, LAURA</t>
  </si>
  <si>
    <t>DUBUQUE, LINDA</t>
  </si>
  <si>
    <t>TREASURER/COLLECTOR/RETIREMENT BOARD MEMBER</t>
  </si>
  <si>
    <t>DOLSON, ZACKARY</t>
  </si>
  <si>
    <t>GLYNN, CHRISTOPHER</t>
  </si>
  <si>
    <t>LYONS, SHAUN</t>
  </si>
  <si>
    <t>MONEA, EMILY</t>
  </si>
  <si>
    <t>UBEDA, ERICK</t>
  </si>
  <si>
    <t>WHELAN, ROBERT</t>
  </si>
  <si>
    <t>RUF, JASON</t>
  </si>
  <si>
    <t>PRAWDZIK, LUCILLE</t>
  </si>
  <si>
    <t>RAMIREZ, JOSE</t>
  </si>
  <si>
    <t>KERSTEN, ALICIA</t>
  </si>
  <si>
    <t>BLITZ, EMILY</t>
  </si>
  <si>
    <t>LAYTON, STEPHEN</t>
  </si>
  <si>
    <t>COLLINS, MATTHEW</t>
  </si>
  <si>
    <t>TEACHER - ELEMENTARY CLASSROOM</t>
  </si>
  <si>
    <t>CORNELIO, CHRISTINE</t>
  </si>
  <si>
    <t>E911 CALL TAKER/DISPATCHER</t>
  </si>
  <si>
    <t>LAFAUCI, CHARLES</t>
  </si>
  <si>
    <t>WHITE, JOAN</t>
  </si>
  <si>
    <t>ASSISTANT FINANCE DIRECTOR</t>
  </si>
  <si>
    <t>DRES, JOHN</t>
  </si>
  <si>
    <t>FUSCO, CHRISTOPHER</t>
  </si>
  <si>
    <t>SAULNIER, SHAYNE</t>
  </si>
  <si>
    <t>JASPER, JULIE</t>
  </si>
  <si>
    <t>MCINNIS, KEITH</t>
  </si>
  <si>
    <t>MACHNIK, LISA</t>
  </si>
  <si>
    <t>GOLDEN, FRANCIS</t>
  </si>
  <si>
    <t>CHIEF ASSESSOR/CHAIRMAN BOARD</t>
  </si>
  <si>
    <t>MACDONALD, MARIANA</t>
  </si>
  <si>
    <t>HR &amp; DIVERSITY ADMINISTRATOR</t>
  </si>
  <si>
    <t>VENDOLA, VICTORIA</t>
  </si>
  <si>
    <t>FOSBROOK, JESSICA</t>
  </si>
  <si>
    <t>DIRECTOR OF ENGINEERING</t>
  </si>
  <si>
    <t>CLARK, JAMES</t>
  </si>
  <si>
    <t>PANTANELLA, MARTHA</t>
  </si>
  <si>
    <t>MACROKANIS, VICTORIA</t>
  </si>
  <si>
    <t>TAM, COLLEEN</t>
  </si>
  <si>
    <t>DEPUTY CITY AUDITOR</t>
  </si>
  <si>
    <t>RUF, DAVID</t>
  </si>
  <si>
    <t>WALLACE, HUGH</t>
  </si>
  <si>
    <t>TEACHER - SECONDARY CLASSROOM</t>
  </si>
  <si>
    <t>CLIGGOTT, WENDY</t>
  </si>
  <si>
    <t>SANTOS, JOSEPH</t>
  </si>
  <si>
    <t>IT SUPERVISOR/COMPUTER INFO SY</t>
  </si>
  <si>
    <t>KIRWAN, MARK</t>
  </si>
  <si>
    <t>THEOPHILE, CHRIST</t>
  </si>
  <si>
    <t>DAVIS, JULIAN</t>
  </si>
  <si>
    <t>MURPHY-SHEEHY, PATRICIA</t>
  </si>
  <si>
    <t>MONTINA-GARCIA, NATACHA</t>
  </si>
  <si>
    <t>MOORE, HARRY</t>
  </si>
  <si>
    <t>ER NIGHT SUP CUST/MAINTENANCE</t>
  </si>
  <si>
    <t>CHEIMETS, STEVEN</t>
  </si>
  <si>
    <t>HERNANDEZ MORGAN, MARIA</t>
  </si>
  <si>
    <t>DIR OF COMMUNICATIONS &amp; GRANTS</t>
  </si>
  <si>
    <t>CRAIG, STEVEN</t>
  </si>
  <si>
    <t>DIRECTOR OF CONSTITUENT SVC</t>
  </si>
  <si>
    <t>SELLERS-GARCIA, OLIVER</t>
  </si>
  <si>
    <t>DIRECTOR OF OSE</t>
  </si>
  <si>
    <t>MCGETTIGAN, EILEEN</t>
  </si>
  <si>
    <t>ASSISTANT CITY SOLICITOR</t>
  </si>
  <si>
    <t>POWERS, MICHAEL</t>
  </si>
  <si>
    <t>DINGYON, KARMA</t>
  </si>
  <si>
    <t>FINNEGAN, MICHAEL</t>
  </si>
  <si>
    <t>CAFFERKY, STEPHEN</t>
  </si>
  <si>
    <t>BROWN, JUSTIN</t>
  </si>
  <si>
    <t>CASAVANT, ANNE B</t>
  </si>
  <si>
    <t>HOSKING, MARIANNA</t>
  </si>
  <si>
    <t>MCLAREN, WANDA</t>
  </si>
  <si>
    <t>LABERGE, JUSTIN</t>
  </si>
  <si>
    <t>TEACHER - GUIDANCE</t>
  </si>
  <si>
    <t>DEMARIANO, JENNIFER</t>
  </si>
  <si>
    <t>MAGUIRE, CATHERINE</t>
  </si>
  <si>
    <t>ARDOLINO, MARK</t>
  </si>
  <si>
    <t>SHACHTER, ELLEN</t>
  </si>
  <si>
    <t>DIRECTOR OF HOUSING STABILITY</t>
  </si>
  <si>
    <t>VECCHIARELLO, ANTHONY</t>
  </si>
  <si>
    <t>QUINN, JOHN</t>
  </si>
  <si>
    <t>LEGRAND, ROBERT</t>
  </si>
  <si>
    <t>MASSIAH, HALLAM</t>
  </si>
  <si>
    <t>WILLIAMS, BRITTANY</t>
  </si>
  <si>
    <t>NELSON, CARL</t>
  </si>
  <si>
    <t>CURTIN, LISA</t>
  </si>
  <si>
    <t>HOBBS, PATRICE</t>
  </si>
  <si>
    <t>SCALLY, DOROTHY</t>
  </si>
  <si>
    <t>TEACHER - OTHER PROF STAFF</t>
  </si>
  <si>
    <t>CABRAL-GOUVEA, VALQUIRIA</t>
  </si>
  <si>
    <t>PROPHETE, FRANDIANE</t>
  </si>
  <si>
    <t>MALONEY, MICHAEL</t>
  </si>
  <si>
    <t>WILLETT, JOHN</t>
  </si>
  <si>
    <t>ALLEN, ANGELA</t>
  </si>
  <si>
    <t>DIRECTOR OF PURCHASING</t>
  </si>
  <si>
    <t>MCKENZIE, JULIE</t>
  </si>
  <si>
    <t>CHIEF LABOR COUNSEL</t>
  </si>
  <si>
    <t>RAWSON, BRADLEY</t>
  </si>
  <si>
    <t>DIRECTOR OF MOBILITY</t>
  </si>
  <si>
    <t>PHILLIPS, SHANNON</t>
  </si>
  <si>
    <t>HARRIS, SARA</t>
  </si>
  <si>
    <t>PUBLIC HEALTH NURSE MANAGER</t>
  </si>
  <si>
    <t>DUMAS, SANDRA</t>
  </si>
  <si>
    <t>WALKER, STEVEN</t>
  </si>
  <si>
    <t>TARELLO, JOSEPH</t>
  </si>
  <si>
    <t>VIELE, NICOLE</t>
  </si>
  <si>
    <t>BRITH, SALLY</t>
  </si>
  <si>
    <t>HUGHES, BRENDAN</t>
  </si>
  <si>
    <t>GALLIGANI, THOMAS</t>
  </si>
  <si>
    <t>DIRECTOR ECONOMIC DEVELOPMENT</t>
  </si>
  <si>
    <t>FREITAS-HALEY, SHEILA</t>
  </si>
  <si>
    <t>NORMAN, TENNYSON</t>
  </si>
  <si>
    <t>HMEO</t>
  </si>
  <si>
    <t>CULLINANE, MAUREEN</t>
  </si>
  <si>
    <t>MELONE-SARDELLA, GIANNA</t>
  </si>
  <si>
    <t>CHAGAS, CARMEN</t>
  </si>
  <si>
    <t>BONNEY, RONALD</t>
  </si>
  <si>
    <t>SUPER OF FLEET MANAGEMENT</t>
  </si>
  <si>
    <t>PAINTER, MELISSA</t>
  </si>
  <si>
    <t>GEORGE, GRISELDA</t>
  </si>
  <si>
    <t>MCALEAR, EVAN</t>
  </si>
  <si>
    <t>HARNEY, MICHELE</t>
  </si>
  <si>
    <t>HAMPTON, RONALD</t>
  </si>
  <si>
    <t>ONEILL, CHARLENE</t>
  </si>
  <si>
    <t>SCRUGLI, STEVEN</t>
  </si>
  <si>
    <t>REGIS, HARRY</t>
  </si>
  <si>
    <t>O'KEEFE, KERRI</t>
  </si>
  <si>
    <t>VAN VLIET, ERIN</t>
  </si>
  <si>
    <t>JAREO, SHELLEY</t>
  </si>
  <si>
    <t>HURLEY, DEBRA</t>
  </si>
  <si>
    <t>CARTER, MATTHEW</t>
  </si>
  <si>
    <t>SLOANE, STEPHEN</t>
  </si>
  <si>
    <t>SR FIRE ALARM OPERATOR</t>
  </si>
  <si>
    <t>O'BRIEN, PATRICIA</t>
  </si>
  <si>
    <t>MCDONALD-NUCCIO, CELIA</t>
  </si>
  <si>
    <t>SCHNEIDER, DEVIN</t>
  </si>
  <si>
    <t>SAULNIER, TROY</t>
  </si>
  <si>
    <t>FIRE FIGHTER/COACH/GAME WORKERS</t>
  </si>
  <si>
    <t>QUINTANILLA, RAUL</t>
  </si>
  <si>
    <t>EMENS, THERESA</t>
  </si>
  <si>
    <t>SCHOOL NURSE PRACTITIONER</t>
  </si>
  <si>
    <t>BLANCHARD, SARAH</t>
  </si>
  <si>
    <t>HERMAN, BRIAN</t>
  </si>
  <si>
    <t>MARSHALL, STEVEN</t>
  </si>
  <si>
    <t>COOK, LISA</t>
  </si>
  <si>
    <t>DIRECTOR CONTINUING EDUCATION</t>
  </si>
  <si>
    <t>ARONOFSKY, DAVID</t>
  </si>
  <si>
    <t>BAKEY, NANCY</t>
  </si>
  <si>
    <t>SANCHEZ-DORADO, INMACULADA</t>
  </si>
  <si>
    <t>HUGHES, MAUREEN</t>
  </si>
  <si>
    <t>STRELL, BARBARA</t>
  </si>
  <si>
    <t>SMALL, TRACI</t>
  </si>
  <si>
    <t>PACINO, DEBORAH</t>
  </si>
  <si>
    <t>SCRIMA, ROXANE</t>
  </si>
  <si>
    <t>MURREE-WALSH, LINDA</t>
  </si>
  <si>
    <t>PIANTEDOSI, PAUL</t>
  </si>
  <si>
    <t>STARBUCK-BITTKER, KATHERINE</t>
  </si>
  <si>
    <t>LEVESQUE, SHARON</t>
  </si>
  <si>
    <t>DOUGLAS, JORDAN</t>
  </si>
  <si>
    <t>SHMEO</t>
  </si>
  <si>
    <t>FARIA, MICHAEL</t>
  </si>
  <si>
    <t>DIGIUSEPPE, MARIA</t>
  </si>
  <si>
    <t>RIZZO, COURTNEY</t>
  </si>
  <si>
    <t>SELFRIDGE, GUY</t>
  </si>
  <si>
    <t>CHIEF CODE ENFORCEMENT INSPECT</t>
  </si>
  <si>
    <t>CREEDON, PATRICIA</t>
  </si>
  <si>
    <t>BUCKWALTER, JAN</t>
  </si>
  <si>
    <t>LIU, YI</t>
  </si>
  <si>
    <t>WOOD, JAMES</t>
  </si>
  <si>
    <t>VARGAS, FRANKLIN</t>
  </si>
  <si>
    <t>ASSISTANT DIRECTOR ELL</t>
  </si>
  <si>
    <t>DEMPSEY, TIMOTHY</t>
  </si>
  <si>
    <t>FELONEY, MICHAEL</t>
  </si>
  <si>
    <t>DIRECTOR OF HOUSING</t>
  </si>
  <si>
    <t>DOOLEY, PEADAR</t>
  </si>
  <si>
    <t>CONLEY, KIM</t>
  </si>
  <si>
    <t>BOWEN, REBECCA</t>
  </si>
  <si>
    <t>WALSH, DAVID</t>
  </si>
  <si>
    <t>SHUFRAN, ZACHARY</t>
  </si>
  <si>
    <t>SOARES, EDUARDO</t>
  </si>
  <si>
    <t>BERKWITZ, ANNE</t>
  </si>
  <si>
    <t>SCARPELLI, GEORGE</t>
  </si>
  <si>
    <t>RECREATION PROGRAM DEVELOPER/COACHES/GAME WORKER</t>
  </si>
  <si>
    <t>FUDGE, KRISTEN</t>
  </si>
  <si>
    <t>EDEN, ANNE</t>
  </si>
  <si>
    <t>BURBIDGE, CHRISTY</t>
  </si>
  <si>
    <t>OLIVEIRA, JOHN</t>
  </si>
  <si>
    <t>NEVILLE, KELLI</t>
  </si>
  <si>
    <t>KIMMEL, MEGHAN</t>
  </si>
  <si>
    <t>SEARA-GALVEZ, CLAUDIA</t>
  </si>
  <si>
    <t>SOUSA, TYLER</t>
  </si>
  <si>
    <t>BEATON, MARY ANN</t>
  </si>
  <si>
    <t>WALSH, JOHN</t>
  </si>
  <si>
    <t>BREEN, TODD</t>
  </si>
  <si>
    <t>SEARS, ROSEMARY</t>
  </si>
  <si>
    <t>HUGHES, JULIE</t>
  </si>
  <si>
    <t>WILLIAMS, KEVIN</t>
  </si>
  <si>
    <t>HUBEN, PEGGY</t>
  </si>
  <si>
    <t>HERSHEY, ALEXANDER</t>
  </si>
  <si>
    <t>SALAZAR, GLORIA</t>
  </si>
  <si>
    <t>GIVEN, HEIDI</t>
  </si>
  <si>
    <t>ROLLI, MICHAEL</t>
  </si>
  <si>
    <t>JOUVELAKAS, MELISSA</t>
  </si>
  <si>
    <t>ABEYTA, ALMUDENA</t>
  </si>
  <si>
    <t>HOLLOWAY, NEIL</t>
  </si>
  <si>
    <t>SANTOS, ADDA</t>
  </si>
  <si>
    <t>MCCARTHY, MAURA</t>
  </si>
  <si>
    <t>MURDOCK, KAREN</t>
  </si>
  <si>
    <t>GALLANT, AGNES</t>
  </si>
  <si>
    <t>NAKHTIGAL, MARIA</t>
  </si>
  <si>
    <t>OLSON, KENNETH</t>
  </si>
  <si>
    <t>FAHEY-FLYNN, JANICE</t>
  </si>
  <si>
    <t>BUCKLEY, CHARLENE</t>
  </si>
  <si>
    <t>BARRINGER, PAUL</t>
  </si>
  <si>
    <t>COLANTUONO, GINO</t>
  </si>
  <si>
    <t>ALLEN, DEBRA</t>
  </si>
  <si>
    <t>SMITH, CAELI</t>
  </si>
  <si>
    <t>BLACK, KENNETH</t>
  </si>
  <si>
    <t>SAVAGE, KRISTI</t>
  </si>
  <si>
    <t>DECAMPOS, JAYNE</t>
  </si>
  <si>
    <t>LEWIS, SARAH</t>
  </si>
  <si>
    <t>DIRECTOR PLANNING AND ZONING</t>
  </si>
  <si>
    <t>CONNOLLY, COLETTE</t>
  </si>
  <si>
    <t>CRUZ-CIOPPA, ADRIANE</t>
  </si>
  <si>
    <t>HUGHES, CATHERINE</t>
  </si>
  <si>
    <t>MORGAN, MICHAEL</t>
  </si>
  <si>
    <t>CHAGNON, RACHEL</t>
  </si>
  <si>
    <t>SPENCE, KIRSTEN</t>
  </si>
  <si>
    <t>LOUIS, ESTEVE</t>
  </si>
  <si>
    <t>VON TRAPP, SHARYN</t>
  </si>
  <si>
    <t>PUCCI, DIANE</t>
  </si>
  <si>
    <t>JONES, JULIE</t>
  </si>
  <si>
    <t>BREWSTER-COOK, LISA</t>
  </si>
  <si>
    <t>NUZZO, EDWARD</t>
  </si>
  <si>
    <t>CAPITAL PROJECTS MANAGER</t>
  </si>
  <si>
    <t>MARTINEZ, OSWALDO</t>
  </si>
  <si>
    <t>ARVANITIS, GEORGIA</t>
  </si>
  <si>
    <t>GEE, ALBERT</t>
  </si>
  <si>
    <t>BUSWELL, JUSTIN</t>
  </si>
  <si>
    <t>FRYDMAN, DEBORAH</t>
  </si>
  <si>
    <t>SOLARIN, ADETOKUNBO</t>
  </si>
  <si>
    <t>ISD DEPUTY DIRECTOR</t>
  </si>
  <si>
    <t>URIBE, NANCY</t>
  </si>
  <si>
    <t>WARNER, BAMBI</t>
  </si>
  <si>
    <t>HOLLADAY, PETER</t>
  </si>
  <si>
    <t>BUCKLEY, JOHN</t>
  </si>
  <si>
    <t>HERN, KATHLEEN</t>
  </si>
  <si>
    <t>FOTHERGILL, SUSAN</t>
  </si>
  <si>
    <t>TAVEIRA, HELOISA</t>
  </si>
  <si>
    <t>RITCHIE, JANE</t>
  </si>
  <si>
    <t>SOTIROS, SHARON</t>
  </si>
  <si>
    <t>LAMER, SHARYN</t>
  </si>
  <si>
    <t>RODRIGUES, HANNAH</t>
  </si>
  <si>
    <t>LAMBERT, DYLAN</t>
  </si>
  <si>
    <t>PACHECO, PATRICIA</t>
  </si>
  <si>
    <t>BERTHOLDO, APARECIDA</t>
  </si>
  <si>
    <t>COORDINATOR PARENT INFO CENTER</t>
  </si>
  <si>
    <t>STERN, CYNTHIA</t>
  </si>
  <si>
    <t>RIVERA, BETSY</t>
  </si>
  <si>
    <t>HIGHT, LORRAINE</t>
  </si>
  <si>
    <t>ONTHANK, HELEN</t>
  </si>
  <si>
    <t>ZAFIROPOULO, ANA</t>
  </si>
  <si>
    <t>BISHOP, GAIL</t>
  </si>
  <si>
    <t>GILTINAN, VALERIE</t>
  </si>
  <si>
    <t>KEYMONT, PAULA JEAN</t>
  </si>
  <si>
    <t>CAMERON, ANNMARIE</t>
  </si>
  <si>
    <t>DILL, ROBERT</t>
  </si>
  <si>
    <t>SKERO, LILIANA</t>
  </si>
  <si>
    <t>FLYNN, JANET</t>
  </si>
  <si>
    <t>WEAVER, LINDSAY</t>
  </si>
  <si>
    <t>RANDAZZO, SHARLA</t>
  </si>
  <si>
    <t>PROGRAM DIRECTOR</t>
  </si>
  <si>
    <t>SHEA, PHYLLIS</t>
  </si>
  <si>
    <t>PAYROLL DIRECTOR</t>
  </si>
  <si>
    <t>GATELY GEHANT, KATHRYN</t>
  </si>
  <si>
    <t>TEACHER - PSYCHOLOGICAL</t>
  </si>
  <si>
    <t>BROWN, LORI</t>
  </si>
  <si>
    <t>FILS-AIME, DONNA</t>
  </si>
  <si>
    <t>STEWART, SKYE</t>
  </si>
  <si>
    <t>JASTER, BRENDA</t>
  </si>
  <si>
    <t>PARIBELLO, ROSANNA</t>
  </si>
  <si>
    <t>DIR OF COMMUNITY EDUCATION</t>
  </si>
  <si>
    <t>PIQUES, JACLYN</t>
  </si>
  <si>
    <t>DEP DIRECTOR OF COMMUNICATIONS</t>
  </si>
  <si>
    <t>ATTOLINO, DEANA</t>
  </si>
  <si>
    <t>GOODWIN, MAURA</t>
  </si>
  <si>
    <t>GARDNER, JANE</t>
  </si>
  <si>
    <t>DIXON, DEBRA</t>
  </si>
  <si>
    <t>TEACHER - LIBRARY/MEDIA</t>
  </si>
  <si>
    <t>BANDA, AISHA</t>
  </si>
  <si>
    <t>RICHARDSON, MACKENZIE</t>
  </si>
  <si>
    <t>SOUSA, MEGHAN</t>
  </si>
  <si>
    <t>CARINO, FRANCES</t>
  </si>
  <si>
    <t>MURPHY, DANIELLE</t>
  </si>
  <si>
    <t>O'KEEFE, GINA</t>
  </si>
  <si>
    <t>MICHEL, WADSON</t>
  </si>
  <si>
    <t>HALLORAN, JAMES</t>
  </si>
  <si>
    <t>SEALER</t>
  </si>
  <si>
    <t>BARBIERE, JEFFREY</t>
  </si>
  <si>
    <t>JENKINS, GREGORY</t>
  </si>
  <si>
    <t>DIRECTOR OF ARTS COUNCIL</t>
  </si>
  <si>
    <t>JACQUES, WILHELM</t>
  </si>
  <si>
    <t>STARR, MELISSA</t>
  </si>
  <si>
    <t>DONOVAN, MIRIAM</t>
  </si>
  <si>
    <t>MCDEVITT, MEAGHAN</t>
  </si>
  <si>
    <t>MOSBY, BEVERLY</t>
  </si>
  <si>
    <t>MORIARTY, MICHAEL</t>
  </si>
  <si>
    <t>ROCHA, EMILY</t>
  </si>
  <si>
    <t>HOLTZMAN, RENE</t>
  </si>
  <si>
    <t>MCCAUL, DANIEL</t>
  </si>
  <si>
    <t>NIKKEL, JOY</t>
  </si>
  <si>
    <t>GRANDOIT, BRIANA</t>
  </si>
  <si>
    <t>DELGADO CASTILLA, ROSA</t>
  </si>
  <si>
    <t>HEBERT, JUSTINE</t>
  </si>
  <si>
    <t>HARDY, EDWARD</t>
  </si>
  <si>
    <t>CLEARY, MICHAEL</t>
  </si>
  <si>
    <t>WALLACE, JOSHUA</t>
  </si>
  <si>
    <t>SNIKERIS, LARISA</t>
  </si>
  <si>
    <t>RODRIGUEZ, JENNIFER</t>
  </si>
  <si>
    <t>HATCH, HOLLY</t>
  </si>
  <si>
    <t>STIER, KRISTIN</t>
  </si>
  <si>
    <t>SLONINA, DAVID</t>
  </si>
  <si>
    <t>DEPUTY DIRECTOR OF IT</t>
  </si>
  <si>
    <t>DESMOND, MATTHEW</t>
  </si>
  <si>
    <t>SR IT SPECIALIST POLICE</t>
  </si>
  <si>
    <t>GRUNKO, REBECCA</t>
  </si>
  <si>
    <t>BINGAY, WILLIAM</t>
  </si>
  <si>
    <t>SCHOOL NURSE</t>
  </si>
  <si>
    <t>DICKSON, KELLEY</t>
  </si>
  <si>
    <t>BELL, AMANDA</t>
  </si>
  <si>
    <t>STEPHANO, STEPHEN</t>
  </si>
  <si>
    <t>BELL, ALISON</t>
  </si>
  <si>
    <t>NICKERSON, THERESA</t>
  </si>
  <si>
    <t>CLOUTIER, MARY ANN</t>
  </si>
  <si>
    <t>KOTY, GAY</t>
  </si>
  <si>
    <t>SCHOOL NURSE LEADER</t>
  </si>
  <si>
    <t>KENNEDY, KRISTEN</t>
  </si>
  <si>
    <t>PIEROTTI, MARIA</t>
  </si>
  <si>
    <t>DEPUTY ELECTION COMMISSIONER</t>
  </si>
  <si>
    <t>SERINO, THOMAS</t>
  </si>
  <si>
    <t>AURILIO, JAMES</t>
  </si>
  <si>
    <t>BUILDING INSPECTOR</t>
  </si>
  <si>
    <t>SAHLAS, JULIE</t>
  </si>
  <si>
    <t>PALMER, ANDREA</t>
  </si>
  <si>
    <t>MCGOVERN, ERIN</t>
  </si>
  <si>
    <t>TAREMI, DIANA</t>
  </si>
  <si>
    <t>CUNNINGHAM, DAWN</t>
  </si>
  <si>
    <t>BELATRECHE, YASMINA</t>
  </si>
  <si>
    <t>GINIVISIAN, DAVID</t>
  </si>
  <si>
    <t>STELLJES, KRISTEN</t>
  </si>
  <si>
    <t>DIRECTOR OF SOMERSTAT</t>
  </si>
  <si>
    <t>SCAFIDI, JULIE</t>
  </si>
  <si>
    <t>VISCOVICH, MELISSA</t>
  </si>
  <si>
    <t>SCALE - PROGRAM ADMINISTRATOR</t>
  </si>
  <si>
    <t>MITCHELL, MAUREEN</t>
  </si>
  <si>
    <t>MASSILLON, CYNTHIA</t>
  </si>
  <si>
    <t>WHITNEY, WALTER</t>
  </si>
  <si>
    <t>MESSER, CYNTHIA</t>
  </si>
  <si>
    <t>BROWN, JACQUELINE</t>
  </si>
  <si>
    <t>MARCH, SCOTT</t>
  </si>
  <si>
    <t>JOHNSON, MONIQUE</t>
  </si>
  <si>
    <t>SYSTEMS ACCOUNTANT</t>
  </si>
  <si>
    <t>CORBETT, STEPHEN</t>
  </si>
  <si>
    <t>DELL'ANNO, CHRISTINE</t>
  </si>
  <si>
    <t>DIRECTOR OF FINANCE &amp; ADMININ</t>
  </si>
  <si>
    <t>DUFFY, PAUL</t>
  </si>
  <si>
    <t>WESTMORELAND, THOMAS</t>
  </si>
  <si>
    <t>MADAY, SUSAN</t>
  </si>
  <si>
    <t>KARLIN, AMBER</t>
  </si>
  <si>
    <t>MURRAY, MARYBETH</t>
  </si>
  <si>
    <t>MURPHY, BRIEN</t>
  </si>
  <si>
    <t>WASTE COLLECTION INSPECTOR</t>
  </si>
  <si>
    <t>BRUNO, KENNETH</t>
  </si>
  <si>
    <t>MORALES, SANDRA</t>
  </si>
  <si>
    <t>ROSCOE, EVERETT</t>
  </si>
  <si>
    <t>QUINTANILLA, RUTH</t>
  </si>
  <si>
    <t>LUKAN, YETUNDE</t>
  </si>
  <si>
    <t>VIOLA, SHANNA</t>
  </si>
  <si>
    <t>BLICKENDERFER, ANDREW</t>
  </si>
  <si>
    <t>QUINLAN, JENNIFER</t>
  </si>
  <si>
    <t>FOLEY, LAURIE</t>
  </si>
  <si>
    <t>DELLACAMERA, MIKKEL</t>
  </si>
  <si>
    <t>ANTOINE, SUZANNE</t>
  </si>
  <si>
    <t>MANZELLI, ANTHONY</t>
  </si>
  <si>
    <t>PHILLIPS, CAROLE</t>
  </si>
  <si>
    <t>GARDNER, MICHAEL</t>
  </si>
  <si>
    <t>TREMONTE, JENNY</t>
  </si>
  <si>
    <t>AVANT-RANSOME, KENYA</t>
  </si>
  <si>
    <t>PERFORMANCE DATA SPECIALIST</t>
  </si>
  <si>
    <t>BENNETT, MICHELE</t>
  </si>
  <si>
    <t>COLLINS, ELLEN</t>
  </si>
  <si>
    <t>DEPUTY DIRECTOR OF PERSONNEL</t>
  </si>
  <si>
    <t>CANTILLO, FERNANDO</t>
  </si>
  <si>
    <t>POST, JULIA</t>
  </si>
  <si>
    <t>JUSTIN, ISABELLA</t>
  </si>
  <si>
    <t>POTHIER, GERALD</t>
  </si>
  <si>
    <t>ELECTRICIAN</t>
  </si>
  <si>
    <t>QUINONES, MARK</t>
  </si>
  <si>
    <t>MORGAN, MARY</t>
  </si>
  <si>
    <t>MCELROY, RICHARD</t>
  </si>
  <si>
    <t>BOWLER, MICHELLE</t>
  </si>
  <si>
    <t>SR CODE ENFORCEMENT INSPECTOR</t>
  </si>
  <si>
    <t>CLARK, MEGHAN</t>
  </si>
  <si>
    <t>DASILVA, EDWARD</t>
  </si>
  <si>
    <t>IT COMP TECH/SYST ADMIN</t>
  </si>
  <si>
    <t>YARMEL, GINA</t>
  </si>
  <si>
    <t>KANE MOLONEY, HOLLY</t>
  </si>
  <si>
    <t>MOREL, JORGE</t>
  </si>
  <si>
    <t>COHN, ILANA</t>
  </si>
  <si>
    <t>STOKER, BERT</t>
  </si>
  <si>
    <t>SMITH, PAUL</t>
  </si>
  <si>
    <t>MITCHELL, CHRISTOPHER</t>
  </si>
  <si>
    <t>ANGELLI, CHRISTOPHER</t>
  </si>
  <si>
    <t>GOODE, JOSEPH</t>
  </si>
  <si>
    <t>SIGNAL MAINTAINER</t>
  </si>
  <si>
    <t>TEIXEIRA, KATHY</t>
  </si>
  <si>
    <t>ADMIN SMEA A</t>
  </si>
  <si>
    <t>KASE, ALISON</t>
  </si>
  <si>
    <t>MARTINEZ-GARCED, AILEENE</t>
  </si>
  <si>
    <t>DUNPHY, TIMOTHY</t>
  </si>
  <si>
    <t>WRIGHT, GREGORY</t>
  </si>
  <si>
    <t>SHEA, JOAN</t>
  </si>
  <si>
    <t>INACIO, ALAN</t>
  </si>
  <si>
    <t>IRWIN, ANNE</t>
  </si>
  <si>
    <t>CONNOR, ELIZABETH</t>
  </si>
  <si>
    <t>DIR INTERGOVERNMENTAL AFFAIRS</t>
  </si>
  <si>
    <t>ANAYA, KATE</t>
  </si>
  <si>
    <t>BACCI, NANCY</t>
  </si>
  <si>
    <t>DIRECTOR OF HUMAN SERVICES</t>
  </si>
  <si>
    <t>CRUZ, EDUARDO</t>
  </si>
  <si>
    <t>UZENSKI, MATTHEW</t>
  </si>
  <si>
    <t>BARTLETT, MARLENE</t>
  </si>
  <si>
    <t>PUBL HEALTH PREPAREDNESS NURSE</t>
  </si>
  <si>
    <t>LAWRENCE, JACQUELYN</t>
  </si>
  <si>
    <t>LIEVENSE, ADRIENNE</t>
  </si>
  <si>
    <t>CRONIN, MAUREEN</t>
  </si>
  <si>
    <t>RIZZO, JOSEPH</t>
  </si>
  <si>
    <t>IT NETWORK MANAGER</t>
  </si>
  <si>
    <t>VICENTE, TERESA</t>
  </si>
  <si>
    <t>IT ADMINPROG/TECH</t>
  </si>
  <si>
    <t>BROWN, MICHAEL</t>
  </si>
  <si>
    <t>PATTON, SAMANTHA</t>
  </si>
  <si>
    <t>SHARP, ANTHONY</t>
  </si>
  <si>
    <t>BOUCHARD, ANNA</t>
  </si>
  <si>
    <t>MCLEAN, ADAM</t>
  </si>
  <si>
    <t>LESSIN, ALEX</t>
  </si>
  <si>
    <t>ENSDORF, STEPHEN</t>
  </si>
  <si>
    <t>KLEIN, KEVIN</t>
  </si>
  <si>
    <t>CHIEF PLUMBING &amp; GAS INSPECTOR</t>
  </si>
  <si>
    <t>ZACHARIAS, JENNIFER</t>
  </si>
  <si>
    <t>WOODS, MELISSA</t>
  </si>
  <si>
    <t>SENIOR PLANNER</t>
  </si>
  <si>
    <t>SALERNO, NICHOLAS</t>
  </si>
  <si>
    <t>CHAIRMAN OF ELECTIONS</t>
  </si>
  <si>
    <t>DEVITA, ANTHONY</t>
  </si>
  <si>
    <t>MASTROBUONI, MICHAEL</t>
  </si>
  <si>
    <t>BUDGET MANAGER/RETIREMENT BOARD MEMBER</t>
  </si>
  <si>
    <t>COLLINS, ERIC</t>
  </si>
  <si>
    <t>HILL, TARA</t>
  </si>
  <si>
    <t>COLLETTE, CHRISTOPHER</t>
  </si>
  <si>
    <t>SOMMER, BENJAMIN</t>
  </si>
  <si>
    <t>ECONOMIC DEV SPECIALIST</t>
  </si>
  <si>
    <t>PREVAL, JACQUES</t>
  </si>
  <si>
    <t>LABORER</t>
  </si>
  <si>
    <t>MESERVEY, MATTHEW</t>
  </si>
  <si>
    <t>SCHOSS, AVIGAIL</t>
  </si>
  <si>
    <t>PRISBY, JOAN</t>
  </si>
  <si>
    <t>WEAVER, SCOTT</t>
  </si>
  <si>
    <t>RICHARDSON, FLOYD</t>
  </si>
  <si>
    <t>MIGLIACCIO, JAIME</t>
  </si>
  <si>
    <t>OCCUPATIONAL THERAPIST</t>
  </si>
  <si>
    <t>SAUNDERS, GRETCHEN</t>
  </si>
  <si>
    <t>GEISLER-TUBRIDY, MEAGHAN</t>
  </si>
  <si>
    <t>DOWNER, JILL</t>
  </si>
  <si>
    <t>KIVI, KARA</t>
  </si>
  <si>
    <t>LINVILLE, THOMAS</t>
  </si>
  <si>
    <t>O'REILLY, CINDIE</t>
  </si>
  <si>
    <t>ROSS, KATHLEEN</t>
  </si>
  <si>
    <t>MELILLO, KATE</t>
  </si>
  <si>
    <t>DRISCOLL, JOHN</t>
  </si>
  <si>
    <t>PORTINE, GAIL</t>
  </si>
  <si>
    <t>SILVERMAN, LAWRENCE</t>
  </si>
  <si>
    <t>DAVIDSON, NAOMI</t>
  </si>
  <si>
    <t>SFLC DIRECTOR</t>
  </si>
  <si>
    <t>ARRUDA, MEGAN</t>
  </si>
  <si>
    <t>ASSIST ELECTION COMMISSIONER</t>
  </si>
  <si>
    <t>BARTMAN, DANIEL</t>
  </si>
  <si>
    <t>NURSE, RICHARD</t>
  </si>
  <si>
    <t>RISCHALL, JEREMY</t>
  </si>
  <si>
    <t>LAWHORNE, MARK</t>
  </si>
  <si>
    <t>SUPER  HIGHWAYS/LIGHTS &amp; LINES</t>
  </si>
  <si>
    <t>FERRIS, JESSICA</t>
  </si>
  <si>
    <t>ACCAPUTO, LAURA</t>
  </si>
  <si>
    <t>ADMIN SMEA B/TRAFFIC HEARING OFFICER</t>
  </si>
  <si>
    <t>THAYER, ELIZABETH</t>
  </si>
  <si>
    <t>BRIEN, KYLE</t>
  </si>
  <si>
    <t>FIRE ALARM OPERATOR</t>
  </si>
  <si>
    <t>MARTORANA, TAMMY</t>
  </si>
  <si>
    <t>FALAISE, JEAN-CLAUDE</t>
  </si>
  <si>
    <t>OLIVEIRA, LUISA</t>
  </si>
  <si>
    <t>DIR PUBLIC SPACE URBAN FORESTR</t>
  </si>
  <si>
    <t>KELLY, MICHELLE</t>
  </si>
  <si>
    <t>ATHLETIC TRAINER/CONCUSSION</t>
  </si>
  <si>
    <t>BREEN, SCOTT</t>
  </si>
  <si>
    <t>LAMBERT, THOMAS</t>
  </si>
  <si>
    <t>BARGOOT, ALBERT</t>
  </si>
  <si>
    <t>CHAMALLAS, LYNNE</t>
  </si>
  <si>
    <t>THEOLIEN, DOLORES</t>
  </si>
  <si>
    <t>CASTLE, JASON</t>
  </si>
  <si>
    <t>PUOPOLO, ROBERT</t>
  </si>
  <si>
    <t>TULLY, MARIA</t>
  </si>
  <si>
    <t>FRANZEN, ARN</t>
  </si>
  <si>
    <t>PROJ MANAGER DIRECTOR OF PARKS</t>
  </si>
  <si>
    <t>HAMEL, JOSEPH</t>
  </si>
  <si>
    <t>BLAKE, THEODORE</t>
  </si>
  <si>
    <t>PETRIV, YURI</t>
  </si>
  <si>
    <t>RIOPELLE, JENNIFER</t>
  </si>
  <si>
    <t>SOUSA, MARIO</t>
  </si>
  <si>
    <t>PANTANELLA, ANTHONY</t>
  </si>
  <si>
    <t>MOTOR EQUIPMENT REPAIRMAN</t>
  </si>
  <si>
    <t>HUCKINS, STEVEN</t>
  </si>
  <si>
    <t>THOMAS, SUNAYANA</t>
  </si>
  <si>
    <t>MCKENZIE, STEWART</t>
  </si>
  <si>
    <t>MORALES, JUAN</t>
  </si>
  <si>
    <t>KIM, ELI</t>
  </si>
  <si>
    <t>OLSEN, SUSAN</t>
  </si>
  <si>
    <t>ROBINSON, KEVIN</t>
  </si>
  <si>
    <t>STUDENT INSIGHTS LEAD TRAINER</t>
  </si>
  <si>
    <t>TEVES, JOSEPH</t>
  </si>
  <si>
    <t>CARPENTER, KARA</t>
  </si>
  <si>
    <t>CASSANO, ROBERT</t>
  </si>
  <si>
    <t>PROJECT MGR CAPITAL PROJ</t>
  </si>
  <si>
    <t>DONATO, KELLY</t>
  </si>
  <si>
    <t>ASST DIR HSG/HSG COUNSEL</t>
  </si>
  <si>
    <t>CASTILE, RONALD</t>
  </si>
  <si>
    <t>LIBRARIAN II</t>
  </si>
  <si>
    <t>STEELE, SERENA</t>
  </si>
  <si>
    <t>CONWAY, CHARLES</t>
  </si>
  <si>
    <t>POSTLEWAITE, BRIAN</t>
  </si>
  <si>
    <t>ASSISTANT DIRECTOR OF ENGINEER</t>
  </si>
  <si>
    <t>KILDUFF, MICHAEL</t>
  </si>
  <si>
    <t>DIPIETRO, DAVID</t>
  </si>
  <si>
    <t>DIORIO, JASON</t>
  </si>
  <si>
    <t>KEATING, DAVID</t>
  </si>
  <si>
    <t>BUILDING CUSTODIAN CITY</t>
  </si>
  <si>
    <t>BENDEL, DANIEL</t>
  </si>
  <si>
    <t>SOARES, SARAH</t>
  </si>
  <si>
    <t>CORSO, MAUREEN</t>
  </si>
  <si>
    <t>DAVIS, JESSICA</t>
  </si>
  <si>
    <t>DIR. OF EQUITY &amp; EXCELLENCE</t>
  </si>
  <si>
    <t>STEAD, TARA</t>
  </si>
  <si>
    <t>DONALDSON, CAITLIN</t>
  </si>
  <si>
    <t>AMADO, LYSANDER</t>
  </si>
  <si>
    <t>HARTKE, KATHLEEN</t>
  </si>
  <si>
    <t>GRANTS DEVELOPMENT MANAGER</t>
  </si>
  <si>
    <t>MOORE, DANIEL</t>
  </si>
  <si>
    <t>WEB DEV/MULT MED DESIGNER</t>
  </si>
  <si>
    <t>BROWN, MARIE</t>
  </si>
  <si>
    <t>BENEFITS MANAGER</t>
  </si>
  <si>
    <t>BOUKILI, VANESSA</t>
  </si>
  <si>
    <t>SENIOR PLANNER URBAN AGR FORES</t>
  </si>
  <si>
    <t>ELLIS, SHARON</t>
  </si>
  <si>
    <t>LOGAN, SHANNON</t>
  </si>
  <si>
    <t>CARUSO, ELLEN</t>
  </si>
  <si>
    <t>WOODS, NYDIA</t>
  </si>
  <si>
    <t>DAVIS, FRANCINE</t>
  </si>
  <si>
    <t>GROSS, ALLISON</t>
  </si>
  <si>
    <t>AMELIN, DANIEL</t>
  </si>
  <si>
    <t>PROJECT MGR UTILITIES</t>
  </si>
  <si>
    <t>BRIDGE, RAMI</t>
  </si>
  <si>
    <t>JOHNSON, KEITH</t>
  </si>
  <si>
    <t>GIS COORDINATOR</t>
  </si>
  <si>
    <t>CAMPOS, LUCAS</t>
  </si>
  <si>
    <t>WHITTON, KATIE</t>
  </si>
  <si>
    <t>TOSCHES, LINDSEY</t>
  </si>
  <si>
    <t>LOGRIPPO, PATRICIA</t>
  </si>
  <si>
    <t>DAMBROSIO, SARAH</t>
  </si>
  <si>
    <t>WALDRON, LUIS</t>
  </si>
  <si>
    <t>DRAGO, LAUREN</t>
  </si>
  <si>
    <t>URBAN REVITALIZATION SPEC</t>
  </si>
  <si>
    <t>QURESHI, HALEEMAH</t>
  </si>
  <si>
    <t>PROJECT MGR ENGINEERING</t>
  </si>
  <si>
    <t>HAYS, ALLISON</t>
  </si>
  <si>
    <t>PEASE, ANDREA</t>
  </si>
  <si>
    <t>SHARMA, RUJA</t>
  </si>
  <si>
    <t>CONNEELY, KERRI</t>
  </si>
  <si>
    <t>MORRISON, ERIN</t>
  </si>
  <si>
    <t>KONSTANTOPOULOS, MARIA</t>
  </si>
  <si>
    <t>GARITY, DIANA</t>
  </si>
  <si>
    <t>DESHPANDE, VITHAL</t>
  </si>
  <si>
    <t>ENVIRONMENTAL COORDINATOR</t>
  </si>
  <si>
    <t>ALLEN, JULIA</t>
  </si>
  <si>
    <t>HOSMAN, JOANNE</t>
  </si>
  <si>
    <t>ACCOUNTS PAYABLE SUPERVISOR</t>
  </si>
  <si>
    <t>THORNTON, RICHARD</t>
  </si>
  <si>
    <t>KOSLOFSKY, ALAN</t>
  </si>
  <si>
    <t>SR BLDG CUSTODIAN CITY</t>
  </si>
  <si>
    <t>MCDEVITT, KEVIN</t>
  </si>
  <si>
    <t>HICKEY, CINDY</t>
  </si>
  <si>
    <t>DIRECTOR OF COUNCIL ON AGING</t>
  </si>
  <si>
    <t>BERNSTEIN, MARYBETH</t>
  </si>
  <si>
    <t>MEDEIROS, THERESA</t>
  </si>
  <si>
    <t>MCCAIN, JOSEPH</t>
  </si>
  <si>
    <t>MARTINI, TROY</t>
  </si>
  <si>
    <t>FRENTZOS, TIFFANY</t>
  </si>
  <si>
    <t>ALFANO, DARIO</t>
  </si>
  <si>
    <t>O'CONNELL, MARGARET</t>
  </si>
  <si>
    <t>PEURA, LAURA</t>
  </si>
  <si>
    <t>NEVIN, MARK</t>
  </si>
  <si>
    <t>MELO, PATRICK</t>
  </si>
  <si>
    <t>QUIGLEY, MAUREEN</t>
  </si>
  <si>
    <t>BUNKER, DAVID</t>
  </si>
  <si>
    <t>RICHARDS, MICHAEL</t>
  </si>
  <si>
    <t>DIRECTOR OF FINANCE AND ADMIN</t>
  </si>
  <si>
    <t>BARROWS, LUCY</t>
  </si>
  <si>
    <t>DONEGHEY, ELIZABETH</t>
  </si>
  <si>
    <t>HUGHES, STEPHEN</t>
  </si>
  <si>
    <t>VAUGHN, MARY</t>
  </si>
  <si>
    <t>LYNCH, SEAMUS</t>
  </si>
  <si>
    <t>THEUS, MIDOUIN</t>
  </si>
  <si>
    <t>SUNDELL-THOMAS, LILLIAN</t>
  </si>
  <si>
    <t>DEPUTY DIRECTOR OF LIBRARIES</t>
  </si>
  <si>
    <t>MROZICKI, EMMA</t>
  </si>
  <si>
    <t>AMERO, ELIZABETH</t>
  </si>
  <si>
    <t>MATHEWS, DANIEL</t>
  </si>
  <si>
    <t>MGR OF RESIDENTIAL ASSESSMENTS</t>
  </si>
  <si>
    <t>ST. PIERRE, ANDREW</t>
  </si>
  <si>
    <t>PINO, NOELLE</t>
  </si>
  <si>
    <t>MELLO, RENEE</t>
  </si>
  <si>
    <t>MGR EMPLOYMENT SAFTY &amp; TRAIN</t>
  </si>
  <si>
    <t>DOTTIN, SHANNON</t>
  </si>
  <si>
    <t>PIPER, DAVID</t>
  </si>
  <si>
    <t>DELAFANO, CHERYL</t>
  </si>
  <si>
    <t>JAIL DIVERSION COORDINATOR</t>
  </si>
  <si>
    <t>JOHNSON, MATTHEW</t>
  </si>
  <si>
    <t>PAYNE, HANNAH</t>
  </si>
  <si>
    <t>SUSTAINABILITY COORDINATOR</t>
  </si>
  <si>
    <t>ROBINSON, LISA</t>
  </si>
  <si>
    <t>DIRECTOR SHAPE-UP SOMERVILL</t>
  </si>
  <si>
    <t>IMPERIOSO, RAMO</t>
  </si>
  <si>
    <t>LIBRARY TECHNICIAN III</t>
  </si>
  <si>
    <t>GARTON, BENJAMIN</t>
  </si>
  <si>
    <t>O'BRIEN, EMILY</t>
  </si>
  <si>
    <t>ANTANAVICA, NICHOLAS</t>
  </si>
  <si>
    <t>SUPERINTENDENT ISD</t>
  </si>
  <si>
    <t>MORALES, HERIBERTO</t>
  </si>
  <si>
    <t>DIR OF COMMERCIAL ASSESSMENTS</t>
  </si>
  <si>
    <t>MACMARTIN, JESSICA</t>
  </si>
  <si>
    <t>WALLEY, LAURA</t>
  </si>
  <si>
    <t>REBELO, ANNA</t>
  </si>
  <si>
    <t>PARKING CLK/DIR OF OPERATIONS</t>
  </si>
  <si>
    <t>O'CONNOR, ELIZABETH</t>
  </si>
  <si>
    <t>JOSEPH, FRANCOIS</t>
  </si>
  <si>
    <t>CUMMINGS, JANE</t>
  </si>
  <si>
    <t>CASSESSO, DOROTHY</t>
  </si>
  <si>
    <t>FINANCIAL ANALYST</t>
  </si>
  <si>
    <t>O'REGAN, CORNELIUS</t>
  </si>
  <si>
    <t>MCLAUGHLIN, MARK</t>
  </si>
  <si>
    <t>CALIORO, CARLIE</t>
  </si>
  <si>
    <t>MURILLO, ANGELIQUE</t>
  </si>
  <si>
    <t>THEODAT, MERLISHA</t>
  </si>
  <si>
    <t>KOSTOPOULOS, CAMERON</t>
  </si>
  <si>
    <t>MECHANIC EQUIP REPAIRMAN</t>
  </si>
  <si>
    <t>D'ANGELI, DIANE</t>
  </si>
  <si>
    <t>ADMIN SMEA B</t>
  </si>
  <si>
    <t>QUARATIELLO, ELIZABETH</t>
  </si>
  <si>
    <t>LARTEY, LESLIE</t>
  </si>
  <si>
    <t>BAUGH, ST PATRICK</t>
  </si>
  <si>
    <t>BUILDING CUSTODIAN SCHOOLS</t>
  </si>
  <si>
    <t>KOTY, RUSSELL</t>
  </si>
  <si>
    <t>LEAD PROGRAM MANAGER</t>
  </si>
  <si>
    <t>YOUNG, DIANA</t>
  </si>
  <si>
    <t>COUTURE, JESSICA</t>
  </si>
  <si>
    <t>WILLIS, MEREDITH</t>
  </si>
  <si>
    <t>SENIOR CRIME ANALYST 1</t>
  </si>
  <si>
    <t>CAHILL, WILLIAM</t>
  </si>
  <si>
    <t>WIRE INSPECTOR ISD</t>
  </si>
  <si>
    <t>MACDONALD, MARISA</t>
  </si>
  <si>
    <t>MENGESTU, ZEWDITU</t>
  </si>
  <si>
    <t>SENIOR ACCOUNTANT</t>
  </si>
  <si>
    <t>HALLETT, EDWARD</t>
  </si>
  <si>
    <t>SIGN REPAIRMAN</t>
  </si>
  <si>
    <t>LAMAGDELEINE, KELSEY</t>
  </si>
  <si>
    <t>WHITE, SARAH</t>
  </si>
  <si>
    <t>PLANNER</t>
  </si>
  <si>
    <t>CARVALHO, JENNIFER</t>
  </si>
  <si>
    <t>DINOVIS, JENNA</t>
  </si>
  <si>
    <t>CONTRERAS-LOOR, CARLOS</t>
  </si>
  <si>
    <t>WEISMAN, ERIC</t>
  </si>
  <si>
    <t>DIRECTOR OF OPERATIONS DPW</t>
  </si>
  <si>
    <t>LIRETTE, LEIGHA</t>
  </si>
  <si>
    <t>MITRANO, VINCENT</t>
  </si>
  <si>
    <t>MAINTENANCE MECHANIC/PWL</t>
  </si>
  <si>
    <t>MILLER, JENNIFER</t>
  </si>
  <si>
    <t>HEALEY, SIOBHAN</t>
  </si>
  <si>
    <t>SULLIVAN, NORA</t>
  </si>
  <si>
    <t>GLYNN, KEVENY</t>
  </si>
  <si>
    <t>CONTENTE, PATRICIA</t>
  </si>
  <si>
    <t>COMM OUTREACH/HARM RED DIRE</t>
  </si>
  <si>
    <t>MAYER, ARIEL</t>
  </si>
  <si>
    <t>BURKARD, CAROLINE</t>
  </si>
  <si>
    <t>CHASE, KRISTENNA</t>
  </si>
  <si>
    <t>CABRAL, JEAN</t>
  </si>
  <si>
    <t>ADMINISTRATIVE ASSISTANT</t>
  </si>
  <si>
    <t>MADDEN, NICOLE</t>
  </si>
  <si>
    <t>SHUTE, JOAN</t>
  </si>
  <si>
    <t>ASSISTANT TAX COLLECTOR</t>
  </si>
  <si>
    <t>KENNEDY, BRIAN</t>
  </si>
  <si>
    <t>FRIEDMAN, MICHAEL</t>
  </si>
  <si>
    <t>ROSS, MEAGAN</t>
  </si>
  <si>
    <t>VIEIRA, MATTHEW</t>
  </si>
  <si>
    <t>LANZIERI, MELISSA</t>
  </si>
  <si>
    <t>STUDLEY, LEONORA</t>
  </si>
  <si>
    <t>BLACK, LINDSAY</t>
  </si>
  <si>
    <t>TORO, AMANDA</t>
  </si>
  <si>
    <t>DOUGLAS, SUSANNE</t>
  </si>
  <si>
    <t>MORGAN, CHRISTIANNA</t>
  </si>
  <si>
    <t>WILSON, EMILY</t>
  </si>
  <si>
    <t>REVERT, MONICA</t>
  </si>
  <si>
    <t>HOWLAND, CATHERINE</t>
  </si>
  <si>
    <t>JENSEN, HANS</t>
  </si>
  <si>
    <t>ZONING REVIEW PLANNER</t>
  </si>
  <si>
    <t>DECARLO, STEVEN</t>
  </si>
  <si>
    <t>DIR OF CITY CABLE OPERATIONS</t>
  </si>
  <si>
    <t>POLINSKI, ADAM</t>
  </si>
  <si>
    <t>ANALYST</t>
  </si>
  <si>
    <t>HAN, TZU-TING</t>
  </si>
  <si>
    <t>UCCELLO, PAULINE</t>
  </si>
  <si>
    <t>ASST FOOD SERVICE DIRECTOR</t>
  </si>
  <si>
    <t>GUEREQUE KHAN, ADRIANA</t>
  </si>
  <si>
    <t>ASSIST COMMUNITY ED ADMIN</t>
  </si>
  <si>
    <t>VENTURA, JAMES</t>
  </si>
  <si>
    <t>MCCAFFERY, WILLIAM</t>
  </si>
  <si>
    <t>PLUMBING &amp; GAS FITTING INSPECT</t>
  </si>
  <si>
    <t>SCHONBERGER, NICHOLAS</t>
  </si>
  <si>
    <t>ECONOMIC DEV ASSISTANT</t>
  </si>
  <si>
    <t>BISHOP, BRYAN</t>
  </si>
  <si>
    <t>DIRECTOR OF VETERANS' SERVICES</t>
  </si>
  <si>
    <t>MASTERSON, SARAH</t>
  </si>
  <si>
    <t>LIPHAM, BENJAMIN</t>
  </si>
  <si>
    <t>HARDING, JOHN</t>
  </si>
  <si>
    <t>DATA ANALYST</t>
  </si>
  <si>
    <t>FISHMAN, EMILY</t>
  </si>
  <si>
    <t>WARD, CATHERINE</t>
  </si>
  <si>
    <t>AVERY, ZACHARY</t>
  </si>
  <si>
    <t>WATER METER READER</t>
  </si>
  <si>
    <t>ROCHE, ELIZABETH</t>
  </si>
  <si>
    <t>SR POLICE DETAIL ADMINISTRATOR</t>
  </si>
  <si>
    <t>KESSLER, MELANIE</t>
  </si>
  <si>
    <t>DIRECTOR COLLEGE &amp; READINESS</t>
  </si>
  <si>
    <t>COULOMBE, MARYANN</t>
  </si>
  <si>
    <t>DESROCHERS, LORIN</t>
  </si>
  <si>
    <t>DUVAL, MARIKA</t>
  </si>
  <si>
    <t>DESOUSA, SUSAN</t>
  </si>
  <si>
    <t>DESIR, CORTNI</t>
  </si>
  <si>
    <t>PRINCIPAL ANALYST</t>
  </si>
  <si>
    <t>DAY, ROBERT</t>
  </si>
  <si>
    <t>ZAMBAKIS, THEOFANIS</t>
  </si>
  <si>
    <t>RINGER, DIANE</t>
  </si>
  <si>
    <t>CONSOLO, JOSEPH</t>
  </si>
  <si>
    <t>SENIOR SCHOOL CUSTODIAN</t>
  </si>
  <si>
    <t>KIRK, CORTNEY</t>
  </si>
  <si>
    <t>SKONIECZNY, SARA</t>
  </si>
  <si>
    <t>CLINICAL YOUTH SPECIALIST</t>
  </si>
  <si>
    <t>CARRILLO, DANIELA</t>
  </si>
  <si>
    <t>SALAMOUN, NENCY</t>
  </si>
  <si>
    <t>MGR DIVERSITY EQUITY INCLUSION</t>
  </si>
  <si>
    <t>MELENDEZ, JOANNA</t>
  </si>
  <si>
    <t>SPED INTERPRETING ASSISTANT</t>
  </si>
  <si>
    <t>ENGELSMAN, MARK</t>
  </si>
  <si>
    <t>BURCH, MATTHEW</t>
  </si>
  <si>
    <t>STARK, ELISABETH</t>
  </si>
  <si>
    <t>SCALE FT SCALE TEACHER</t>
  </si>
  <si>
    <t>MASCI, JASON</t>
  </si>
  <si>
    <t>PARKING CONTROL OFFICER</t>
  </si>
  <si>
    <t>KOH, CHRISTINE</t>
  </si>
  <si>
    <t>STATTEL, ANDREW</t>
  </si>
  <si>
    <t>CONSTANTINE, JOSEPH</t>
  </si>
  <si>
    <t>PROGRAMMER</t>
  </si>
  <si>
    <t>BRADY, MEGAN</t>
  </si>
  <si>
    <t>SEMPLE, ERIC</t>
  </si>
  <si>
    <t>HANLY, CAROLINE</t>
  </si>
  <si>
    <t>HICKEY, JOHN</t>
  </si>
  <si>
    <t>MCDONALD, ROY</t>
  </si>
  <si>
    <t>PALEY, MARAH</t>
  </si>
  <si>
    <t>PEREZ, CARLOS</t>
  </si>
  <si>
    <t>WATER ENGINEER</t>
  </si>
  <si>
    <t>PU, SHARON</t>
  </si>
  <si>
    <t>ACCOUNTANT</t>
  </si>
  <si>
    <t>MCCRACKEN, LINDSAY</t>
  </si>
  <si>
    <t>MCDAID, THOMAS</t>
  </si>
  <si>
    <t>ACKERMAN, MEGHANN</t>
  </si>
  <si>
    <t>PUBLIC INFORMATION OFFICER</t>
  </si>
  <si>
    <t>KILLEEN, JONATHAN T</t>
  </si>
  <si>
    <t>RODRIGUEZ, ANGELA</t>
  </si>
  <si>
    <t>PALAZZO, DANIELLE</t>
  </si>
  <si>
    <t>MITCHELL, MATTHEW</t>
  </si>
  <si>
    <t>DIRECTOR OF PREVENTION SERVICE</t>
  </si>
  <si>
    <t>LAPIANA-DORAN, BARBARA</t>
  </si>
  <si>
    <t>ADMINISTRATIVE AIDE</t>
  </si>
  <si>
    <t>AUGUSTIN, VIOLA</t>
  </si>
  <si>
    <t>GLX PROJECT LIAISON</t>
  </si>
  <si>
    <t>MORRIS, SARA</t>
  </si>
  <si>
    <t>HARDY, DANIEL</t>
  </si>
  <si>
    <t>MAHONEY, NICOLE</t>
  </si>
  <si>
    <t>CLOHOSEY, MEGHAN</t>
  </si>
  <si>
    <t>DIXON, WENDY</t>
  </si>
  <si>
    <t>CURLEY, JOHN</t>
  </si>
  <si>
    <t>FACILITIES MGR - ICE RINK</t>
  </si>
  <si>
    <t>WARREN, MELISSA</t>
  </si>
  <si>
    <t>GALLIVAN, RORY</t>
  </si>
  <si>
    <t>VALLERY, KRISTINE</t>
  </si>
  <si>
    <t>LYNCH, PAULA</t>
  </si>
  <si>
    <t>MCGLASHING, LAUREN</t>
  </si>
  <si>
    <t>ROCHE, CHARLES</t>
  </si>
  <si>
    <t>WINTER, BIANCA-JULIANNA</t>
  </si>
  <si>
    <t>ERLICH, DANIELLE</t>
  </si>
  <si>
    <t>MARADIANOS, MARIA</t>
  </si>
  <si>
    <t>ROWLINSON, VERONICA</t>
  </si>
  <si>
    <t>SPINELLI, MEAGAN</t>
  </si>
  <si>
    <t>MORENO, MICHELE</t>
  </si>
  <si>
    <t>ARLINGTON, MICHAEL</t>
  </si>
  <si>
    <t>MITRANO, DEBORA</t>
  </si>
  <si>
    <t>PROJECT ASSISTANT</t>
  </si>
  <si>
    <t>OLIVEIRA, ALZIMARA</t>
  </si>
  <si>
    <t>CRAMER, JENNIFER</t>
  </si>
  <si>
    <t>ARRIA, CHARLES</t>
  </si>
  <si>
    <t>MELLO, ALEXANDER</t>
  </si>
  <si>
    <t>AAS, JACQUELINE</t>
  </si>
  <si>
    <t>SILVA, JAMES</t>
  </si>
  <si>
    <t>MITCHELL, MARK</t>
  </si>
  <si>
    <t>ANGIULO, JEAN</t>
  </si>
  <si>
    <t>CASSESSO, CHRISTOPHER</t>
  </si>
  <si>
    <t>CEBALLOS, JILLIAN</t>
  </si>
  <si>
    <t>DEANGELIS, JENNIFER</t>
  </si>
  <si>
    <t>CAPRIGNO, SABRINA</t>
  </si>
  <si>
    <t>PRINCIPAL ACCOUNT CLRK PAYROLL</t>
  </si>
  <si>
    <t>PAGLIARO, JENNEEN</t>
  </si>
  <si>
    <t>PICKETT, DONNA</t>
  </si>
  <si>
    <t>GRASCIA-DIPAOLO, CAROLINE</t>
  </si>
  <si>
    <t>HAAS, LAURA</t>
  </si>
  <si>
    <t>GRANT WRITER</t>
  </si>
  <si>
    <t>DAVIDSON, LISA-ANNE</t>
  </si>
  <si>
    <t>HOUSING GRANTS MANAGER</t>
  </si>
  <si>
    <t>HANSCOM, MARK</t>
  </si>
  <si>
    <t>LEARY, KAREN</t>
  </si>
  <si>
    <t>DOUGHERTY, KATHLEEN</t>
  </si>
  <si>
    <t>KIELY, JULIE</t>
  </si>
  <si>
    <t>CAMPBELL, CARA</t>
  </si>
  <si>
    <t>GABRISZESKI, JACOB</t>
  </si>
  <si>
    <t>BATZEK, LORI</t>
  </si>
  <si>
    <t>CONNOR, TANIA</t>
  </si>
  <si>
    <t>HOGAN, MICHAEL</t>
  </si>
  <si>
    <t>ASSESSOR ANALYST</t>
  </si>
  <si>
    <t>MUCCI, JOHN</t>
  </si>
  <si>
    <t>LIBERATORE, JO-ANN</t>
  </si>
  <si>
    <t>DESIR, HENOCK</t>
  </si>
  <si>
    <t>HAZARD, NICOLE</t>
  </si>
  <si>
    <t>STRUTT, RACHEL</t>
  </si>
  <si>
    <t>CULTURAL DIRECTOR</t>
  </si>
  <si>
    <t>DEFRANZO, ROBYN</t>
  </si>
  <si>
    <t>BLAKE, JOHN</t>
  </si>
  <si>
    <t>BAXTER, MARIE</t>
  </si>
  <si>
    <t>SENIOR CLERK</t>
  </si>
  <si>
    <t>POWER, JOHN</t>
  </si>
  <si>
    <t>CHIEF WIRE &amp; ELECTRICAL INSPEC</t>
  </si>
  <si>
    <t>NACE, STEPHEN</t>
  </si>
  <si>
    <t>TECHNICAL SPECALIST/TRNR</t>
  </si>
  <si>
    <t>GADSBY, MICHAEL</t>
  </si>
  <si>
    <t>RAYWOOD, KATHLEEN</t>
  </si>
  <si>
    <t>JACKSON, AMBER</t>
  </si>
  <si>
    <t>BUCKLEY, MICHELE</t>
  </si>
  <si>
    <t>O'KELLY, KEVIN</t>
  </si>
  <si>
    <t>WOLDEMARIAM, LAUREN</t>
  </si>
  <si>
    <t>ALVAREZ AZPEITIA, JUAN</t>
  </si>
  <si>
    <t>WHITAKER, AMELIA</t>
  </si>
  <si>
    <t>FLORES, RAFAEL</t>
  </si>
  <si>
    <t>BRUNEAULT, EMILY</t>
  </si>
  <si>
    <t>VIVEIROS, ELENA</t>
  </si>
  <si>
    <t>CALL CENTER MANAGER</t>
  </si>
  <si>
    <t>HERMANN, JULIA</t>
  </si>
  <si>
    <t>ZIULKOWSKI, RACHEL</t>
  </si>
  <si>
    <t>SNYDER, TIMOTHY</t>
  </si>
  <si>
    <t>MACK, AVEVA</t>
  </si>
  <si>
    <t>NORDMEYER, MARLEY</t>
  </si>
  <si>
    <t>ROTHSTEIN, MEREDITH</t>
  </si>
  <si>
    <t>JOY, DONNA</t>
  </si>
  <si>
    <t>CRUZ, CHERYL</t>
  </si>
  <si>
    <t>DEPUTY TREASUER</t>
  </si>
  <si>
    <t>WRANKMORE, TREVOR</t>
  </si>
  <si>
    <t>LOWENSTEIN, RIE</t>
  </si>
  <si>
    <t>GEE, VERONICA</t>
  </si>
  <si>
    <t>EXECUTIVE SECRETARY</t>
  </si>
  <si>
    <t>ROSS, STEVEN</t>
  </si>
  <si>
    <t>CODE ENFORCEMENT INSPECTOR</t>
  </si>
  <si>
    <t>WOOD, WENDY</t>
  </si>
  <si>
    <t>BROWN, BRYANT</t>
  </si>
  <si>
    <t>ASST SYSTEMS &amp; DATABASE ADMIN</t>
  </si>
  <si>
    <t>BARROS, ISABEL</t>
  </si>
  <si>
    <t>COOMBS, MARITA</t>
  </si>
  <si>
    <t>LIBRARIAN III</t>
  </si>
  <si>
    <t>CONKEY, KATHLEEN</t>
  </si>
  <si>
    <t>CARGAN, REID</t>
  </si>
  <si>
    <t>MCDOWELL, ELISA</t>
  </si>
  <si>
    <t>PARK, CONNIE</t>
  </si>
  <si>
    <t>JACOBS, ELLEN</t>
  </si>
  <si>
    <t>LIBRARIAN I</t>
  </si>
  <si>
    <t>BOUGAS, ALISON</t>
  </si>
  <si>
    <t>SALICRUP, VALERIE</t>
  </si>
  <si>
    <t>ROGERS, MICHAEL</t>
  </si>
  <si>
    <t>DODIN, DELINCE</t>
  </si>
  <si>
    <t>PARKING METER REPAIRMAN</t>
  </si>
  <si>
    <t>KALTON, JOHN</t>
  </si>
  <si>
    <t>MUCCI, JAMES</t>
  </si>
  <si>
    <t>WILLIAMS, JESSIE</t>
  </si>
  <si>
    <t>HARDY, STEPHEN</t>
  </si>
  <si>
    <t>PLUMBER</t>
  </si>
  <si>
    <t>SENECAL, BENJAMIN</t>
  </si>
  <si>
    <t>DEVIN, TIM</t>
  </si>
  <si>
    <t>WALKER, JULIE</t>
  </si>
  <si>
    <t>MACMULLEN, DIANE</t>
  </si>
  <si>
    <t>GRANT ACCOUNTANT</t>
  </si>
  <si>
    <t>MCMAHON, HOLLY</t>
  </si>
  <si>
    <t>LYNCH, NANCY</t>
  </si>
  <si>
    <t>EXECUTIVE ASSISTANT</t>
  </si>
  <si>
    <t>SWEENEY, EITHNA</t>
  </si>
  <si>
    <t>FAVALORO, BARBARA</t>
  </si>
  <si>
    <t>HEAD CLERK 1</t>
  </si>
  <si>
    <t>JOYCE, KENNETH</t>
  </si>
  <si>
    <t>HOUSING REHAB PROGRAM MANAGER</t>
  </si>
  <si>
    <t>CASSESSO-ERCOLINI, ANN</t>
  </si>
  <si>
    <t>DAURIA, RUSSELL</t>
  </si>
  <si>
    <t>SALES/PERSONAL PROP ANALYST</t>
  </si>
  <si>
    <t>GRAHAM, CHARLES</t>
  </si>
  <si>
    <t>ROCHE, CHRISTOPHER</t>
  </si>
  <si>
    <t>HALEY, CAROL</t>
  </si>
  <si>
    <t>VASSILLION, STEPHANIE</t>
  </si>
  <si>
    <t>LAVEY, DENISE</t>
  </si>
  <si>
    <t>HOSMAN, CHRISTOPHER</t>
  </si>
  <si>
    <t>DIRECTOR OF SOMERPROMISE</t>
  </si>
  <si>
    <t>ROQUE, MARISSA</t>
  </si>
  <si>
    <t>SPEZZAFERO, KIMBERLY</t>
  </si>
  <si>
    <t>LEGAL ADMINISTRATIVE ASSISTANT</t>
  </si>
  <si>
    <t>SINGH, DALVIR</t>
  </si>
  <si>
    <t>PARKING CONTROL OFFICER/HELPER</t>
  </si>
  <si>
    <t>TORRES-EVANGELIS, JULIE</t>
  </si>
  <si>
    <t>BENEFITS COORDINATOR</t>
  </si>
  <si>
    <t>SERPA, CLARA</t>
  </si>
  <si>
    <t>SCALE FT COUNSELOR</t>
  </si>
  <si>
    <t>ATTARD, HANNAH</t>
  </si>
  <si>
    <t>JAMILKOWSKI, NORA</t>
  </si>
  <si>
    <t>CAPUANO, DAVID</t>
  </si>
  <si>
    <t>PARKING CONTROL OFFICER/CROSSING GUARD</t>
  </si>
  <si>
    <t>DE OLIVEIRA, SILAS</t>
  </si>
  <si>
    <t>EL SISTEMA DIRECTOR</t>
  </si>
  <si>
    <t>DE JESUS, MARIA</t>
  </si>
  <si>
    <t>MURPHY, MARIA</t>
  </si>
  <si>
    <t>LIBRARY SENIOR ASSISTANT</t>
  </si>
  <si>
    <t>BROWN, KIM</t>
  </si>
  <si>
    <t>HEAD CLERK</t>
  </si>
  <si>
    <t>LUNA, APRIL</t>
  </si>
  <si>
    <t>SACCO, DENISE</t>
  </si>
  <si>
    <t>COURIER, BRITTANEY</t>
  </si>
  <si>
    <t>WHITNEY, JOHN</t>
  </si>
  <si>
    <t>HOUSING COORDINATOR</t>
  </si>
  <si>
    <t>DEBENEDICTIS, STEPHEN</t>
  </si>
  <si>
    <t>SANTIAGO, RAMONA</t>
  </si>
  <si>
    <t>KUSZMAR, JENNIFER</t>
  </si>
  <si>
    <t>RODRIGUES, THERESA</t>
  </si>
  <si>
    <t>SMITH, LINDA</t>
  </si>
  <si>
    <t>PCO SUPERVISOR</t>
  </si>
  <si>
    <t>JABOUR, CHARLES</t>
  </si>
  <si>
    <t>MOOS, JESSE</t>
  </si>
  <si>
    <t>CONST LIAISON &amp; COMPLIANCE MGR</t>
  </si>
  <si>
    <t>GOODRIDGE, ALICIA</t>
  </si>
  <si>
    <t>IT SPECIALIST</t>
  </si>
  <si>
    <t>WADITWAR, PRAJKTA</t>
  </si>
  <si>
    <t>CONSTRUCTION PROCUREMENT MGR</t>
  </si>
  <si>
    <t>DOWNING, HEIDI</t>
  </si>
  <si>
    <t>PIERCE, GEORGE</t>
  </si>
  <si>
    <t>LIBRARY FIRST ASSISTANT</t>
  </si>
  <si>
    <t>WARD, KENNETH</t>
  </si>
  <si>
    <t>RATHJENS, ANTHEA</t>
  </si>
  <si>
    <t>BOURNE, RACHEL</t>
  </si>
  <si>
    <t>NAIM, NATASHA</t>
  </si>
  <si>
    <t>GERIATRIC SOCIAL WORKER</t>
  </si>
  <si>
    <t>CAMARA MURRAY, DENISE</t>
  </si>
  <si>
    <t>SHAPIRO, CLAIRE</t>
  </si>
  <si>
    <t>CHUKHATSANG, THUPTEN</t>
  </si>
  <si>
    <t>PROCUREMENT ANALYST</t>
  </si>
  <si>
    <t>DAHLIN, JULIA</t>
  </si>
  <si>
    <t>MAHONEY, JEANNE</t>
  </si>
  <si>
    <t>ARTAVIA, NICHOLE</t>
  </si>
  <si>
    <t>BAYUL, SAMPHEL</t>
  </si>
  <si>
    <t>HARRIS, LAUREN</t>
  </si>
  <si>
    <t>MOYNIHAN, DENNIS</t>
  </si>
  <si>
    <t>FOSTER, SUSAN</t>
  </si>
  <si>
    <t>PRINCIPAL CLERK</t>
  </si>
  <si>
    <t>BROWN, RITA</t>
  </si>
  <si>
    <t>FORD, KIMBERLY</t>
  </si>
  <si>
    <t>LENNON, SCOTT</t>
  </si>
  <si>
    <t>DIXSON, NADIA</t>
  </si>
  <si>
    <t>ARCHIVIST</t>
  </si>
  <si>
    <t>WOLDEMARIAM, SELAM</t>
  </si>
  <si>
    <t>MURPHY, ELIZABETH</t>
  </si>
  <si>
    <t>DOE, TAMMY</t>
  </si>
  <si>
    <t>QUINTANILHA, LUCIANA</t>
  </si>
  <si>
    <t>SOCIAL WORKER</t>
  </si>
  <si>
    <t>MORALES, OBED</t>
  </si>
  <si>
    <t>KENNEDY, PATRICIA</t>
  </si>
  <si>
    <t>DIRECTOR SHS DAY CARE</t>
  </si>
  <si>
    <t>SKOVERA, THERESA</t>
  </si>
  <si>
    <t>CELESTIN, MARC</t>
  </si>
  <si>
    <t>FERNANDES, ADRIANA</t>
  </si>
  <si>
    <t>COMMUNITY ENGAGEMENT SPEC</t>
  </si>
  <si>
    <t>CORBETT, PATRICK</t>
  </si>
  <si>
    <t>PRESCOTT, REBEKAH</t>
  </si>
  <si>
    <t>MERCIER, ROBERT</t>
  </si>
  <si>
    <t>PUBLIC WORKS MAINTENANCE MAN</t>
  </si>
  <si>
    <t>ZAINO, A MATTHEW</t>
  </si>
  <si>
    <t>ISD PARALEGAL</t>
  </si>
  <si>
    <t>FLORES, IRMA</t>
  </si>
  <si>
    <t>LEW, PETER K J</t>
  </si>
  <si>
    <t>GHEBREMICAEL, FREWEINI</t>
  </si>
  <si>
    <t>LIBRARY TECHNICIAN II</t>
  </si>
  <si>
    <t>PORZIELLA, DOLORES</t>
  </si>
  <si>
    <t>SANCHEZ, CARLOS</t>
  </si>
  <si>
    <t>VALENTE, COSMO</t>
  </si>
  <si>
    <t>O'REGAN, MELANIE</t>
  </si>
  <si>
    <t>PAYROLL COORDINATOR</t>
  </si>
  <si>
    <t>BOCART, MILLER</t>
  </si>
  <si>
    <t>MACE, ERICA</t>
  </si>
  <si>
    <t>MATTEIS, MELISSA</t>
  </si>
  <si>
    <t>JAENICKE, LEAH</t>
  </si>
  <si>
    <t>GUARINO, JASON</t>
  </si>
  <si>
    <t>OSKIN, SCOTT</t>
  </si>
  <si>
    <t>DIFRANCO, ANTONIO</t>
  </si>
  <si>
    <t>GODIN, DAVID</t>
  </si>
  <si>
    <t>INTERNAL AUDITOR</t>
  </si>
  <si>
    <t>CARROLL, BONNY</t>
  </si>
  <si>
    <t>DIRECTOR OF TOBACCO CONTROL</t>
  </si>
  <si>
    <t>ALMEIDA, ANNAMARIE</t>
  </si>
  <si>
    <t>WINGATE, THOMAS</t>
  </si>
  <si>
    <t>MIRANDA, GINA</t>
  </si>
  <si>
    <t>CS STUDENT SVC COORD</t>
  </si>
  <si>
    <t>ESTRELA, STEPHANIE</t>
  </si>
  <si>
    <t>STILLINGS, DEBORAH</t>
  </si>
  <si>
    <t>DAY, KRISTIN</t>
  </si>
  <si>
    <t>SAIT, NAIMA</t>
  </si>
  <si>
    <t>BASTOS, WAGNER</t>
  </si>
  <si>
    <t>PAVAO, JESSICA</t>
  </si>
  <si>
    <t>HR GENERALIST</t>
  </si>
  <si>
    <t>TEICH, YARON</t>
  </si>
  <si>
    <t>CAMPBELL, CHRISTINE</t>
  </si>
  <si>
    <t>STUDENT SRVS CRISIS CASE MANAG</t>
  </si>
  <si>
    <t>DRISCOLL, DONNA</t>
  </si>
  <si>
    <t>PAIVA, GREGG</t>
  </si>
  <si>
    <t>SCHROEDER, HELEN</t>
  </si>
  <si>
    <t>CARRINGTON, GERRY</t>
  </si>
  <si>
    <t>LEAD PROGRAM COORDINATOR</t>
  </si>
  <si>
    <t>HODGDON, JAMES</t>
  </si>
  <si>
    <t>SAINT-SURIN, JHENNY</t>
  </si>
  <si>
    <t>MCKENNA, JOAN</t>
  </si>
  <si>
    <t>PEFINE, DARLENE</t>
  </si>
  <si>
    <t>VIOLA, TONI</t>
  </si>
  <si>
    <t>MANCIA, JENNIFER</t>
  </si>
  <si>
    <t>COMMUNITY SERVICES MANAGER</t>
  </si>
  <si>
    <t>SACCO, CARMEN</t>
  </si>
  <si>
    <t>TECHNOLOGY TECHNICIAN</t>
  </si>
  <si>
    <t>TERRY, MARY</t>
  </si>
  <si>
    <t>SILVEIRA, GEORGIANNA</t>
  </si>
  <si>
    <t>ENVIRONMENT HEALTH COORDINATOR</t>
  </si>
  <si>
    <t>STURNIOLO, JAMES</t>
  </si>
  <si>
    <t>PERRIELLO, JAMES</t>
  </si>
  <si>
    <t>SPELIOTIS, ASHLEY</t>
  </si>
  <si>
    <t>MITCHELL, ALISON</t>
  </si>
  <si>
    <t>PACHECO, MATTHEW</t>
  </si>
  <si>
    <t>SNELLING, HALLEY</t>
  </si>
  <si>
    <t>FORSELL, MEGHAN</t>
  </si>
  <si>
    <t>ORTEGA, DENISE</t>
  </si>
  <si>
    <t>CRIME ANALYST</t>
  </si>
  <si>
    <t>MEDEIROS, MARIA</t>
  </si>
  <si>
    <t>HALL, PATRICIA</t>
  </si>
  <si>
    <t>COBBS, MARY ELLEN</t>
  </si>
  <si>
    <t>SANTANA, MIGUEL</t>
  </si>
  <si>
    <t>IT SPECIALIST - SMEA D</t>
  </si>
  <si>
    <t>LALLY, MARYALICE</t>
  </si>
  <si>
    <t>NASCIMENTO, VICTOR</t>
  </si>
  <si>
    <t>OUTREACH COORD PLAN &amp; ZONING</t>
  </si>
  <si>
    <t>VILLAR DASILVA, FERNANDA</t>
  </si>
  <si>
    <t>DIRECTOR PARENT CHILD HOME PRG</t>
  </si>
  <si>
    <t>PIWINSKI, MARGARET</t>
  </si>
  <si>
    <t>WILLETTE, RICHARD</t>
  </si>
  <si>
    <t>DUFFY, JOAN</t>
  </si>
  <si>
    <t>HALAWA, JAMAL</t>
  </si>
  <si>
    <t>HOWARD, JESSICA</t>
  </si>
  <si>
    <t>DE BONA, JULLIANE</t>
  </si>
  <si>
    <t>MCGINTY, JOAN</t>
  </si>
  <si>
    <t>FORBES, KELLI</t>
  </si>
  <si>
    <t>SAINT CYR, DENIS</t>
  </si>
  <si>
    <t>GAFFNEY, PAUL</t>
  </si>
  <si>
    <t>JONES, RITA</t>
  </si>
  <si>
    <t>LAFEE, ROBERT</t>
  </si>
  <si>
    <t>DANIELS, EMMA</t>
  </si>
  <si>
    <t>TRINGALE, JOSEPH</t>
  </si>
  <si>
    <t>CEFALO, DREW</t>
  </si>
  <si>
    <t>MARTIN, BENJAMIN</t>
  </si>
  <si>
    <t>SENIOR PROGRAM DIRECTOR</t>
  </si>
  <si>
    <t>MARTIN, JOELLE</t>
  </si>
  <si>
    <t>POLANCO-CABADAS, ITHZEL</t>
  </si>
  <si>
    <t>INCLUSION HSG SPECIALIST</t>
  </si>
  <si>
    <t>ARMIRA, GHALI</t>
  </si>
  <si>
    <t>BARONE, MICHAEL</t>
  </si>
  <si>
    <t>VOIT, SHEPLEIGH</t>
  </si>
  <si>
    <t>MELARAGNI, PAMELA</t>
  </si>
  <si>
    <t>MARCHANT, KAREN</t>
  </si>
  <si>
    <t>SHEA, JOHN</t>
  </si>
  <si>
    <t>BRAGA, SIMONE</t>
  </si>
  <si>
    <t>REGISTRAR</t>
  </si>
  <si>
    <t>HARRINGTON, MEGHAN</t>
  </si>
  <si>
    <t>TAYLOR, RACHEL</t>
  </si>
  <si>
    <t>ANIMAL CONTROL OFFICER</t>
  </si>
  <si>
    <t>COMO, KELLY</t>
  </si>
  <si>
    <t>ADMIN ASSISTANT SMEA D</t>
  </si>
  <si>
    <t>RAGLAND, MARGARET</t>
  </si>
  <si>
    <t>STEIN, BRITTANY</t>
  </si>
  <si>
    <t>OSOY, MARCO</t>
  </si>
  <si>
    <t>PROGRAM COORDINATOR/COACHES/GAME WORKERS</t>
  </si>
  <si>
    <t>SCHIFF, DIANE</t>
  </si>
  <si>
    <t>FELONI, MARLENE</t>
  </si>
  <si>
    <t>TELEPHONE OPERATOR</t>
  </si>
  <si>
    <t>LEAHY, PATRICIA</t>
  </si>
  <si>
    <t>PRINCIPAL ACCOUNT CLERK</t>
  </si>
  <si>
    <t>WINGATE, JULIA</t>
  </si>
  <si>
    <t>CARRILLO, HANNAH</t>
  </si>
  <si>
    <t>MENDEZ, JOSE</t>
  </si>
  <si>
    <t>OUT OF SCHOOL TIME COORDINATOR</t>
  </si>
  <si>
    <t>DRAYTON, MALIK</t>
  </si>
  <si>
    <t>DONOVAN-DE KLERK, JANNEKE</t>
  </si>
  <si>
    <t>TAX TITLE ADMIN</t>
  </si>
  <si>
    <t>HOLLAND, DENISE</t>
  </si>
  <si>
    <t>GRANTS ANALYST</t>
  </si>
  <si>
    <t>GREENBERG, THERESA</t>
  </si>
  <si>
    <t>SADLER, JOANNE</t>
  </si>
  <si>
    <t>WILSON, J BRANDON</t>
  </si>
  <si>
    <t>DIR OF HISTORIC PRESERVATION</t>
  </si>
  <si>
    <t>MORRIS, PAUL</t>
  </si>
  <si>
    <t>CARRON, CORRIE</t>
  </si>
  <si>
    <t>STANTON, MATTHEW</t>
  </si>
  <si>
    <t>BAUMGARTEN, ALYSSA</t>
  </si>
  <si>
    <t>TORINO, GRACE</t>
  </si>
  <si>
    <t>O'CONNOR, CAROLINE</t>
  </si>
  <si>
    <t>SATIN-HERNANDEZ, ERICA</t>
  </si>
  <si>
    <t>SHAPE-UP-SOMERVILLE COORD</t>
  </si>
  <si>
    <t>MELLO, JAMES</t>
  </si>
  <si>
    <t>WARD, LAUREN</t>
  </si>
  <si>
    <t>BURBIDGE, HEIDI</t>
  </si>
  <si>
    <t>CARUSO, WILLIAM</t>
  </si>
  <si>
    <t>FALAISE, BEATRICE</t>
  </si>
  <si>
    <t>FUCILE III, SALVATORE</t>
  </si>
  <si>
    <t>CALIORO, PETER</t>
  </si>
  <si>
    <t>LANDRY, KATHRYN</t>
  </si>
  <si>
    <t>MOBILIA, JANEEN</t>
  </si>
  <si>
    <t>FURTADO, DEBORAH</t>
  </si>
  <si>
    <t>KELLY, CAITLIN</t>
  </si>
  <si>
    <t>COORDINATOR</t>
  </si>
  <si>
    <t>GILBLAIR, LOUISE</t>
  </si>
  <si>
    <t>PRINCIPAL CLERK 2</t>
  </si>
  <si>
    <t>SZYMKOWSKI, ROMAN</t>
  </si>
  <si>
    <t>STEVENS, KAREN</t>
  </si>
  <si>
    <t>RICHARD, LINDSEY</t>
  </si>
  <si>
    <t>SIMMONS, DAYSHAWN</t>
  </si>
  <si>
    <t>TONER, KAREN</t>
  </si>
  <si>
    <t>KELLEY, MARY</t>
  </si>
  <si>
    <t>WASHINGTON, STANLEY</t>
  </si>
  <si>
    <t>WOODCOCK, RACHEL</t>
  </si>
  <si>
    <t>PERRY, EVAN</t>
  </si>
  <si>
    <t>FOLEY, MAUREEN</t>
  </si>
  <si>
    <t>KRAMER, ELIZABETH</t>
  </si>
  <si>
    <t>GALLAGHER NOONAN, LISA</t>
  </si>
  <si>
    <t>MANAGER OF ACCOUNTS PAYABLE</t>
  </si>
  <si>
    <t>HUDSON, STEPHANIE</t>
  </si>
  <si>
    <t>POOL MANAGER</t>
  </si>
  <si>
    <t>VIEIRA, STANLEY</t>
  </si>
  <si>
    <t>DIRECTOR OF ATHLETICS K-12</t>
  </si>
  <si>
    <t>CAPAVIELLA, PHILIP</t>
  </si>
  <si>
    <t>DUTTON, KATARINA</t>
  </si>
  <si>
    <t>LAROSSA, MARIA</t>
  </si>
  <si>
    <t>EICHNER, NINA</t>
  </si>
  <si>
    <t>SPECIAL EVENTS MANAGER</t>
  </si>
  <si>
    <t>DARRELL, AARON</t>
  </si>
  <si>
    <t>UMANSKY, IAN</t>
  </si>
  <si>
    <t>DIETRICH, THERESA</t>
  </si>
  <si>
    <t>MARINO, AMANDA</t>
  </si>
  <si>
    <t>BRAGA, JOHN</t>
  </si>
  <si>
    <t>CAMPBELL, MEREDITH</t>
  </si>
  <si>
    <t>FINIGAN, MICHAEL</t>
  </si>
  <si>
    <t>COSTA, MARIA</t>
  </si>
  <si>
    <t>PRINCIPAL CLERK 1</t>
  </si>
  <si>
    <t>TUMUSIIME, JUDITH</t>
  </si>
  <si>
    <t>CPA MANAGER</t>
  </si>
  <si>
    <t>BLANCHARD, JASANNE</t>
  </si>
  <si>
    <t>NUNZIATO, TERESA</t>
  </si>
  <si>
    <t>GULLAGE, JOHN</t>
  </si>
  <si>
    <t>DUNN, JOANNE</t>
  </si>
  <si>
    <t>WHITE, MARY</t>
  </si>
  <si>
    <t>LOPEZ, TERESA</t>
  </si>
  <si>
    <t>GENOVA, CORINNE</t>
  </si>
  <si>
    <t>FRIEDMAN, BARRY</t>
  </si>
  <si>
    <t>GARCIA, VIRGILIO</t>
  </si>
  <si>
    <t>PELLEGRINI, EDWARD</t>
  </si>
  <si>
    <t>BALCHUNAS, HEATHER</t>
  </si>
  <si>
    <t>ARTS COORDINATOR/OFFICE MGR</t>
  </si>
  <si>
    <t>ANDERSON, LEE</t>
  </si>
  <si>
    <t>YIU, MATTHEW</t>
  </si>
  <si>
    <t>CABRERA, KARLA</t>
  </si>
  <si>
    <t>LIAISON SALARY</t>
  </si>
  <si>
    <t>TWOMEY, ELIZABETH</t>
  </si>
  <si>
    <t>PROGRAM COMPLIANCE OFFICER</t>
  </si>
  <si>
    <t>PARZIALE, LISA</t>
  </si>
  <si>
    <t>GRAY, BENJAMIN</t>
  </si>
  <si>
    <t>CONSOLO, WILLIAM</t>
  </si>
  <si>
    <t>TOEUM, THY</t>
  </si>
  <si>
    <t>ARREDONDO, LEAH</t>
  </si>
  <si>
    <t>HAYNES, OLYVER</t>
  </si>
  <si>
    <t>LEDIN, AMANDA</t>
  </si>
  <si>
    <t>DEMAGGIO, ROBIN</t>
  </si>
  <si>
    <t>HARDY, JOHN</t>
  </si>
  <si>
    <t>VROUNTAS, MARILYN</t>
  </si>
  <si>
    <t>ASST DIR OF SPECIAL ED PROG</t>
  </si>
  <si>
    <t>DIFRAIA, PATRICIA</t>
  </si>
  <si>
    <t>NAVARRO, NICOLE</t>
  </si>
  <si>
    <t>MOUSOULI, ANASTASIA</t>
  </si>
  <si>
    <t>DE HERNANDEZ, BEATA HERENIA</t>
  </si>
  <si>
    <t>DOUGLAS, NORMA</t>
  </si>
  <si>
    <t>MARKS, OLIVIA</t>
  </si>
  <si>
    <t>GOODRICH, ANNETTE</t>
  </si>
  <si>
    <t>REYES, RODRIGO</t>
  </si>
  <si>
    <t>PAUL, JEANEDDY</t>
  </si>
  <si>
    <t>STREZYNSKI, AVA</t>
  </si>
  <si>
    <t>EDOUARD, FEDLER</t>
  </si>
  <si>
    <t>O'DONNELL, KERRY</t>
  </si>
  <si>
    <t>DIAZ CORONEL, ALEJANDRA</t>
  </si>
  <si>
    <t>DESMOND, BRUCE</t>
  </si>
  <si>
    <t>960 EMPLOYEE</t>
  </si>
  <si>
    <t>HENRY, SHANNON</t>
  </si>
  <si>
    <t>CARR, MELINDA</t>
  </si>
  <si>
    <t>TAYLOR, CAROLYN</t>
  </si>
  <si>
    <t>VENTURA, WILBER</t>
  </si>
  <si>
    <t>ALEXANDRE ELYSEE, MARJORIE</t>
  </si>
  <si>
    <t>BONIN, ANA</t>
  </si>
  <si>
    <t>ROLLI, KIMBERLY</t>
  </si>
  <si>
    <t>VALLESIO, JEREMY</t>
  </si>
  <si>
    <t>PROGRAM COORDINATOR</t>
  </si>
  <si>
    <t>PENA, MARCO</t>
  </si>
  <si>
    <t>SOARES, ANA</t>
  </si>
  <si>
    <t>COSTA, EILEEN</t>
  </si>
  <si>
    <t>CUSTOMER SERVICE REP</t>
  </si>
  <si>
    <t>FERNANDES, MARCELLO</t>
  </si>
  <si>
    <t>KILLOREN, MARY</t>
  </si>
  <si>
    <t>GILLIS, ALISON</t>
  </si>
  <si>
    <t>SITE COORDINATOR</t>
  </si>
  <si>
    <t>COCHRAN, CLAY</t>
  </si>
  <si>
    <t>MURPHY, CAROL</t>
  </si>
  <si>
    <t>HALLORAN, EDWARD</t>
  </si>
  <si>
    <t>PIGOTT, BRIGID</t>
  </si>
  <si>
    <t>REVILLA, ANDREA</t>
  </si>
  <si>
    <t>BRESCIA, RICHARD</t>
  </si>
  <si>
    <t>QUERUSIO, ALICIA</t>
  </si>
  <si>
    <t>FORRISTALL, SHEILA</t>
  </si>
  <si>
    <t>CHAU, MAY</t>
  </si>
  <si>
    <t>SCIMEMI, GABRIELLA</t>
  </si>
  <si>
    <t>FITZGERALD, ROBERT</t>
  </si>
  <si>
    <t>TORRES, MIGUEL</t>
  </si>
  <si>
    <t>RECREATION LEADER</t>
  </si>
  <si>
    <t>PIRES, JESSICA</t>
  </si>
  <si>
    <t>DIPAOLO, MAUREEN</t>
  </si>
  <si>
    <t>VICTIM WITNESS ADVOCATE</t>
  </si>
  <si>
    <t>HAYNES, ANDREW</t>
  </si>
  <si>
    <t>CAREY, THOMAS</t>
  </si>
  <si>
    <t>BERKOWITZ, JACQUELYN</t>
  </si>
  <si>
    <t>QUINTANILLA, DIANA</t>
  </si>
  <si>
    <t>KENNEDY, JOHN</t>
  </si>
  <si>
    <t>WATCHMAN</t>
  </si>
  <si>
    <t>COOPER, REBECCA</t>
  </si>
  <si>
    <t>SENIOR PLANNER/PLANNING BOARD MEMBER</t>
  </si>
  <si>
    <t>COLMAN, RONALD</t>
  </si>
  <si>
    <t>MAHAN-PRATT, KATHERINE</t>
  </si>
  <si>
    <t>COMO, ANDREW</t>
  </si>
  <si>
    <t>GUARDADO, DIANA</t>
  </si>
  <si>
    <t>VERGE, NATHAN</t>
  </si>
  <si>
    <t>ANDRADE, YOLANDA</t>
  </si>
  <si>
    <t>PAPPENHEIM, HANNAH</t>
  </si>
  <si>
    <t>FLYNN, COLLEEN</t>
  </si>
  <si>
    <t>BEHRENS, JASON</t>
  </si>
  <si>
    <t>INNOVATION PROJ SPEC</t>
  </si>
  <si>
    <t>NUNEZ, KEIRY</t>
  </si>
  <si>
    <t>SANTAMARIA, MARIE</t>
  </si>
  <si>
    <t>MARTINO-YOUNG, CHERYL</t>
  </si>
  <si>
    <t>CARANFA, JENNIFER</t>
  </si>
  <si>
    <t>JR DETAIL CLERK</t>
  </si>
  <si>
    <t>NADILE, BRIAN</t>
  </si>
  <si>
    <t>HURD, EMILY</t>
  </si>
  <si>
    <t>HOUCHIN, WILLIAM</t>
  </si>
  <si>
    <t>BLOTNER, ELISE</t>
  </si>
  <si>
    <t>ROSENFELD, KELLY</t>
  </si>
  <si>
    <t>HEALTH ASSISTANT</t>
  </si>
  <si>
    <t>WHITLOCK JR, JOSEPH</t>
  </si>
  <si>
    <t>LORENTI, CONCETTA</t>
  </si>
  <si>
    <t>ADMIN ASSISTANT NON UNION</t>
  </si>
  <si>
    <t>FORTE, MICHAEL</t>
  </si>
  <si>
    <t>SUPPORT SERVIES TECHNICIAN</t>
  </si>
  <si>
    <t>HOLMES, NANCY</t>
  </si>
  <si>
    <t>SCH REDINESS TRANSITION SPCLST</t>
  </si>
  <si>
    <t>CONNOLLY, MARIE</t>
  </si>
  <si>
    <t>PIERRE-RENE, SHIRLYNE</t>
  </si>
  <si>
    <t>CORRIGAN, ALYSSA</t>
  </si>
  <si>
    <t>RHEEM, CHRISTINE</t>
  </si>
  <si>
    <t>SOUSA, JENNIFER</t>
  </si>
  <si>
    <t>INSPECTIONAL COORD II</t>
  </si>
  <si>
    <t>DOHERTY, ANNA</t>
  </si>
  <si>
    <t>HIGGINS, DEBRA</t>
  </si>
  <si>
    <t>OUTREACH COORDINATOR</t>
  </si>
  <si>
    <t>KOWALESKI, CHRISTOPHER</t>
  </si>
  <si>
    <t>HEALTH &amp; WELLNESS COORDINATOR</t>
  </si>
  <si>
    <t>OZIT, SABRINA</t>
  </si>
  <si>
    <t>COORD OF LAW ENFORCMENT PSHIP</t>
  </si>
  <si>
    <t>SCARPELLI, DINA</t>
  </si>
  <si>
    <t>BROWNE-LEFORT, CHERRY</t>
  </si>
  <si>
    <t>LOGRIPPO, VINCENT</t>
  </si>
  <si>
    <t>SINGH, JAGJOT</t>
  </si>
  <si>
    <t>PHILLIPS, KAREN</t>
  </si>
  <si>
    <t>MANAGER</t>
  </si>
  <si>
    <t>KOSTANDOS, VALERIE</t>
  </si>
  <si>
    <t>JOHNSON, GREGORY</t>
  </si>
  <si>
    <t>PROJECT ASSISTANT CIT TTAC</t>
  </si>
  <si>
    <t>SONG, SAMANTHA</t>
  </si>
  <si>
    <t>SMITH, TERENCE</t>
  </si>
  <si>
    <t>SENIOR TRAFFIC ENGINEER</t>
  </si>
  <si>
    <t>WOOTEN, LEILA</t>
  </si>
  <si>
    <t>KROUCH, BRAHIM</t>
  </si>
  <si>
    <t>JOHANSON, KARINA</t>
  </si>
  <si>
    <t>DE LA CRUZ, HEATHER</t>
  </si>
  <si>
    <t>MASIELLO, CHRISTINE</t>
  </si>
  <si>
    <t>MONTERO, AMANDA</t>
  </si>
  <si>
    <t>LASKEY, MICHELLE</t>
  </si>
  <si>
    <t>SFLC EARLY CHILDHOOD</t>
  </si>
  <si>
    <t>COMO, ANDREA</t>
  </si>
  <si>
    <t>GASPARD, BRYANT</t>
  </si>
  <si>
    <t>PROGRAM SPECIALIST</t>
  </si>
  <si>
    <t>CLINGAN, MICHELE</t>
  </si>
  <si>
    <t>BARAHONA, SONIA</t>
  </si>
  <si>
    <t>PARAPROFESSIONAL</t>
  </si>
  <si>
    <t>ALCOTT, EMILY</t>
  </si>
  <si>
    <t>BENNETT, DEIRDRE</t>
  </si>
  <si>
    <t>WALDRIP, BENJAMIN</t>
  </si>
  <si>
    <t>DIR PARKS &amp; REC OPER</t>
  </si>
  <si>
    <t>MCKENZIE, TIMOTHY</t>
  </si>
  <si>
    <t>D'AGOSTINO, PETER</t>
  </si>
  <si>
    <t>CARPENTER/PWL</t>
  </si>
  <si>
    <t>WACKMAN, SANDRA</t>
  </si>
  <si>
    <t>BUENO, ANDRES</t>
  </si>
  <si>
    <t>BEDI, NAVNIT</t>
  </si>
  <si>
    <t>ROMANO, PATRICIA</t>
  </si>
  <si>
    <t>NEIGH POLICE SERVICE REP</t>
  </si>
  <si>
    <t>WHITE, GILBERT</t>
  </si>
  <si>
    <t>ASSIST DIRECTOR STUDENT SVCS</t>
  </si>
  <si>
    <t>GOIN, YOLKING</t>
  </si>
  <si>
    <t>BOUCHARD, MEGHAN</t>
  </si>
  <si>
    <t>PORTILLO-PEREZ, GABRIELA</t>
  </si>
  <si>
    <t>DIAZ, DIGNORA</t>
  </si>
  <si>
    <t>CORBIN, FRANK</t>
  </si>
  <si>
    <t>TKACZUK, SUSAN</t>
  </si>
  <si>
    <t>PARALEGAL / LEGAL ASSISTANT</t>
  </si>
  <si>
    <t>TSIRIGOTIS, JOHNATHAN</t>
  </si>
  <si>
    <t>GADDY, CAMILA</t>
  </si>
  <si>
    <t>SZATKOWSKI, EVAN</t>
  </si>
  <si>
    <t>https://data.somervillema.gov/Finance/City-of-Somerville-Weekly-Payroll-Gross-Wages-over/un78-etuj</t>
  </si>
  <si>
    <t>Sept 2020 data from City of Somerville wages &gt; 50k</t>
  </si>
  <si>
    <t>Question 1: Find biggest OT, distribution, and graph. Exclude outlier</t>
  </si>
  <si>
    <t>Question 2: Do police, firefights, or teachers report more overtime?</t>
  </si>
  <si>
    <t>Features: Format as table, sort, filter, add column.</t>
  </si>
  <si>
    <t>Features: Print, header/footer, repeat row, set print area, scaling</t>
  </si>
  <si>
    <t>Features: Freeze</t>
  </si>
  <si>
    <t>Sales</t>
  </si>
  <si>
    <t>State</t>
  </si>
  <si>
    <t>CA</t>
  </si>
  <si>
    <t>TX</t>
  </si>
  <si>
    <t>ID</t>
  </si>
  <si>
    <t>WV</t>
  </si>
  <si>
    <t>Commission</t>
  </si>
  <si>
    <t>Vlookup</t>
  </si>
  <si>
    <t>Xlookup</t>
  </si>
  <si>
    <t>Index</t>
  </si>
  <si>
    <t>Match</t>
  </si>
  <si>
    <t>How can we combine multiple tables of data together?</t>
  </si>
  <si>
    <t>Features: Extract position title and find unique, filter to find Police/Fire/Teacher, Xlookup, Pivot</t>
  </si>
  <si>
    <t>Learng the following concepts:</t>
  </si>
  <si>
    <t>Format as table</t>
  </si>
  <si>
    <t>Filter, Sort, Add/Delete rows/columns</t>
  </si>
  <si>
    <t>Pivot</t>
  </si>
  <si>
    <t>Lookups (V, X, Index/Match)</t>
  </si>
  <si>
    <t>Student</t>
  </si>
  <si>
    <t>Bob</t>
  </si>
  <si>
    <t>Sarah</t>
  </si>
  <si>
    <t>Tim</t>
  </si>
  <si>
    <t>Jason</t>
  </si>
  <si>
    <t>Jillian</t>
  </si>
  <si>
    <t>Grade</t>
  </si>
  <si>
    <t>Grades</t>
  </si>
  <si>
    <t>Letter</t>
  </si>
  <si>
    <t>A</t>
  </si>
  <si>
    <t>B</t>
  </si>
  <si>
    <t>C</t>
  </si>
  <si>
    <t>D</t>
  </si>
  <si>
    <t>F</t>
  </si>
  <si>
    <t>Vlookup Range</t>
  </si>
  <si>
    <t>A+</t>
  </si>
  <si>
    <t>Harut</t>
  </si>
  <si>
    <t>Awk</t>
  </si>
  <si>
    <t>Nathan</t>
  </si>
  <si>
    <t>David</t>
  </si>
  <si>
    <t>Range lookup (note the error!)</t>
  </si>
  <si>
    <t>How Cheap Is Your Local Taco Bell?</t>
  </si>
  <si>
    <t>December 20, 2023 by Veronica Fletcher</t>
  </si>
  <si>
    <t>Downloaded 1/15/24</t>
  </si>
  <si>
    <t>https://pantryandlarder.com/taco-bell-prices-by-state/</t>
  </si>
  <si>
    <t>Average Price</t>
  </si>
  <si>
    <t>Lowest Price</t>
  </si>
  <si>
    <t>Highest Price</t>
  </si>
  <si>
    <t>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</si>
  <si>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</si>
  <si>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</si>
  <si>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</si>
  <si>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</si>
  <si>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</si>
  <si>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</si>
  <si>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</si>
  <si>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</si>
  <si>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</si>
  <si>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</si>
  <si>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</si>
  <si>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</si>
  <si>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</si>
  <si>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</si>
  <si>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</si>
  <si>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</si>
  <si>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</si>
  <si>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</si>
  <si>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</si>
  <si>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</si>
  <si>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</si>
  <si>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</si>
  <si>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</si>
  <si>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</si>
  <si>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</si>
  <si>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</si>
  <si>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</si>
  <si>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</si>
  <si>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</si>
  <si>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</si>
  <si>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</si>
  <si>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</si>
  <si>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</si>
  <si>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</si>
  <si>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</si>
  <si>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</si>
  <si>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</si>
  <si>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</si>
  <si>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</si>
  <si>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</si>
  <si>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</si>
  <si>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</si>
  <si>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</si>
  <si>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</si>
  <si>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</si>
  <si>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</si>
  <si>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</si>
  <si>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</si>
  <si>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</si>
  <si>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</si>
  <si>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</si>
  <si>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How old is your state?</t>
  </si>
  <si>
    <t>Downloaded from: https://www.visualcapitalist.com/cp/when-each-state-joined-the-usa-map/#google_vignette</t>
  </si>
  <si>
    <t>Updated 8/20/24</t>
  </si>
  <si>
    <t>Year</t>
  </si>
  <si>
    <t>Table Walk-through</t>
  </si>
  <si>
    <t>Format as Table, styling, filter sort</t>
  </si>
  <si>
    <t>Tasks:</t>
  </si>
  <si>
    <t>Printing options</t>
  </si>
  <si>
    <t>Total row options</t>
  </si>
  <si>
    <t>Answer these questions:</t>
  </si>
  <si>
    <t>What state has the cheapest Taco Bell prices? Most expensive?</t>
  </si>
  <si>
    <t>Is there a significant difference between the high, average, and low prices? Create a graph</t>
  </si>
  <si>
    <t>Calculate the spread (difference) between the high/low. What state has the biggest spread?</t>
  </si>
  <si>
    <t>How is Rank determined? Re-create it based on another measure</t>
  </si>
  <si>
    <t>Filter to only look at states founded after 1900. What is their average? Now filter to only look at the oldest 20 states. What is their average?</t>
  </si>
  <si>
    <t>Pivot Tables</t>
  </si>
  <si>
    <t>Create a Pivot Table</t>
  </si>
  <si>
    <t>Choose sum, count, average, etc..</t>
  </si>
  <si>
    <t>Choose a filter</t>
  </si>
  <si>
    <t>Region</t>
  </si>
  <si>
    <t>Northeast</t>
  </si>
  <si>
    <t>Midwest</t>
  </si>
  <si>
    <t>South (South Atlantic)</t>
  </si>
  <si>
    <t>South (East South Central)</t>
  </si>
  <si>
    <t>South (West South Central)</t>
  </si>
  <si>
    <t>West</t>
  </si>
  <si>
    <t>Unknown</t>
  </si>
  <si>
    <t>Updated by NDG 9/2/26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</si>
</sst>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Hebrew"/>
      <charset val="177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9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9" fontId="1" fillId="0" borderId="0" xfId="1" applyFont="1"/>
    <xf numFmtId="9" fontId="0" fillId="0" borderId="0" xfId="1" applyFont="1"/>
    <xf numFmtId="1" fontId="0" fillId="0" borderId="0" xfId="1" applyNumberFormat="1" applyFont="1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4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1F269-5DF5-41FF-B050-DBE27255A9E8}" name="Table1" displayName="Table1" ref="A4:B8" totalsRowShown="0" headerRowDxfId="3">
  <autoFilter ref="A4:B8" xr:uid="{6101F269-5DF5-41FF-B050-DBE27255A9E8}"/>
  <tableColumns count="2">
    <tableColumn id="1" xr3:uid="{28A6F76F-0F7A-477B-B4EA-A47133D3C8F5}" name="State"/>
    <tableColumn id="2" xr3:uid="{689421F2-D678-4E15-985C-3EAED372AD4D}" name="Commission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87451-AFC1-4B7A-9D41-54A8C59CD72E}" name="Table2" displayName="Table2" ref="A10:F22" totalsRowShown="0" headerRowDxfId="1">
  <autoFilter ref="A10:F22" xr:uid="{3EC87451-AFC1-4B7A-9D41-54A8C59CD72E}"/>
  <tableColumns count="6">
    <tableColumn id="1" xr3:uid="{2F4C7D0E-C0F5-444B-8DBB-EF8BE90E1CDE}" name="Sales"/>
    <tableColumn id="2" xr3:uid="{D0D05CB8-7D53-4549-ADDD-4DF797082CC9}" name="State"/>
    <tableColumn id="3" xr3:uid="{6D02A27C-F2CD-46E2-B74D-396EC423ECA2}" name="Vlookup" dataCellStyle="Percent">
      <calculatedColumnFormula>VLOOKUP(Table2[[#This Row],[State]],Table1[],2, FALSE)</calculatedColumnFormula>
    </tableColumn>
    <tableColumn id="4" xr3:uid="{5E87E282-5EEF-4B13-BA5B-56972CAC9A1C}" name="Match" dataDxfId="0" dataCellStyle="Percent">
      <calculatedColumnFormula>MATCH(Table2[[#This Row],[State]],Table1[State],0)</calculatedColumnFormula>
    </tableColumn>
    <tableColumn id="5" xr3:uid="{9C4CC411-260B-4B29-B5E9-68A4EF0C189D}" name="Index" dataCellStyle="Percent">
      <calculatedColumnFormula array="1">INDEX(Table1[Commission],Table2[[#This Row],[Match]])</calculatedColumnFormula>
    </tableColumn>
    <tableColumn id="6" xr3:uid="{A113B1DC-EF86-45BE-A58D-AD3910DE1514}" name="Xlookup" dataCellStyle="Percent">
      <calculatedColumnFormula>_xlfn.XLOOKUP(Table2[[#This Row],[State]],Table1[State],Table1[Commission])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11" defaultRowHeight="16" x14ac:dyDescent="0.2"/>
  <cols>
    <col min="1" max="1" width="5.6640625" customWidth="1"/>
    <col min="2" max="2" width="20.5" customWidth="1"/>
  </cols>
  <sheetData>
    <row r="1" spans="1:2" ht="28" x14ac:dyDescent="0.4">
      <c r="A1" s="1" t="s">
        <v>16</v>
      </c>
    </row>
    <row r="2" spans="1:2" x14ac:dyDescent="0.2">
      <c r="A2" s="2" t="s">
        <v>1869</v>
      </c>
    </row>
    <row r="4" spans="1:2" x14ac:dyDescent="0.2">
      <c r="A4" t="s">
        <v>1757</v>
      </c>
    </row>
    <row r="5" spans="1:2" x14ac:dyDescent="0.2">
      <c r="B5" t="s">
        <v>1758</v>
      </c>
    </row>
    <row r="6" spans="1:2" x14ac:dyDescent="0.2">
      <c r="B6" t="s">
        <v>1759</v>
      </c>
    </row>
    <row r="7" spans="1:2" x14ac:dyDescent="0.2">
      <c r="B7" t="s">
        <v>1760</v>
      </c>
    </row>
    <row r="8" spans="1:2" x14ac:dyDescent="0.2">
      <c r="B8" t="s">
        <v>1761</v>
      </c>
    </row>
  </sheetData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E8F0-7FFE-4961-A697-3736EDB045DD}">
  <dimension ref="A1:E134"/>
  <sheetViews>
    <sheetView workbookViewId="0">
      <selection activeCell="A134" sqref="A134"/>
    </sheetView>
  </sheetViews>
  <sheetFormatPr baseColWidth="10" defaultColWidth="8.83203125" defaultRowHeight="16" x14ac:dyDescent="0.2"/>
  <sheetData>
    <row r="1" spans="1:2" ht="28" x14ac:dyDescent="0.4">
      <c r="A1" s="1" t="s">
        <v>1846</v>
      </c>
    </row>
    <row r="3" spans="1:2" x14ac:dyDescent="0.2">
      <c r="A3" t="s">
        <v>1848</v>
      </c>
    </row>
    <row r="4" spans="1:2" x14ac:dyDescent="0.2">
      <c r="B4" t="s">
        <v>1847</v>
      </c>
    </row>
    <row r="5" spans="1:2" x14ac:dyDescent="0.2">
      <c r="B5" t="s">
        <v>1752</v>
      </c>
    </row>
    <row r="6" spans="1:2" x14ac:dyDescent="0.2">
      <c r="B6" t="s">
        <v>1850</v>
      </c>
    </row>
    <row r="7" spans="1:2" x14ac:dyDescent="0.2">
      <c r="B7" t="s">
        <v>1849</v>
      </c>
    </row>
    <row r="11" spans="1:2" x14ac:dyDescent="0.2">
      <c r="A11" s="3" t="s">
        <v>1783</v>
      </c>
    </row>
    <row r="12" spans="1:2" x14ac:dyDescent="0.2">
      <c r="A12" t="s">
        <v>1784</v>
      </c>
    </row>
    <row r="13" spans="1:2" x14ac:dyDescent="0.2">
      <c r="A13" t="s">
        <v>1785</v>
      </c>
    </row>
    <row r="14" spans="1:2" x14ac:dyDescent="0.2">
      <c r="A14" t="s">
        <v>1786</v>
      </c>
    </row>
    <row r="16" spans="1:2" x14ac:dyDescent="0.2">
      <c r="A16" t="s">
        <v>1851</v>
      </c>
    </row>
    <row r="17" spans="1:5" x14ac:dyDescent="0.2">
      <c r="B17" t="s">
        <v>1852</v>
      </c>
    </row>
    <row r="18" spans="1:5" x14ac:dyDescent="0.2">
      <c r="B18" t="s">
        <v>1853</v>
      </c>
    </row>
    <row r="19" spans="1:5" x14ac:dyDescent="0.2">
      <c r="B19" t="s">
        <v>1854</v>
      </c>
    </row>
    <row r="20" spans="1:5" x14ac:dyDescent="0.2">
      <c r="B20" t="s">
        <v>1855</v>
      </c>
    </row>
    <row r="21" spans="1:5" x14ac:dyDescent="0.2">
      <c r="B21" t="s">
        <v>1856</v>
      </c>
    </row>
    <row r="23" spans="1:5" x14ac:dyDescent="0.2">
      <c r="A23" s="9" t="s">
        <v>1745</v>
      </c>
      <c r="B23" s="9" t="s">
        <v>1787</v>
      </c>
      <c r="C23" s="9" t="s">
        <v>1788</v>
      </c>
      <c r="D23" s="9" t="s">
        <v>1789</v>
      </c>
      <c r="E23" s="9" t="s">
        <v>1790</v>
      </c>
    </row>
    <row r="24" spans="1:5" x14ac:dyDescent="0.2">
      <c r="A24" t="s">
        <v>1791</v>
      </c>
      <c r="B24" s="10">
        <v>6.93</v>
      </c>
      <c r="C24" s="10">
        <v>6.49</v>
      </c>
      <c r="D24" s="10">
        <v>7.79</v>
      </c>
      <c r="E24" s="11">
        <v>7</v>
      </c>
    </row>
    <row r="25" spans="1:5" x14ac:dyDescent="0.2">
      <c r="A25" t="s">
        <v>1792</v>
      </c>
      <c r="B25" s="10">
        <v>7.99</v>
      </c>
      <c r="C25" s="10">
        <v>7.99</v>
      </c>
      <c r="D25" s="10">
        <v>7.99</v>
      </c>
      <c r="E25" s="11">
        <v>43</v>
      </c>
    </row>
    <row r="26" spans="1:5" x14ac:dyDescent="0.2">
      <c r="A26" t="s">
        <v>1793</v>
      </c>
      <c r="B26" s="10">
        <v>7.76</v>
      </c>
      <c r="C26" s="10">
        <v>6.49</v>
      </c>
      <c r="D26" s="10">
        <v>8.49</v>
      </c>
      <c r="E26" s="11">
        <v>38</v>
      </c>
    </row>
    <row r="27" spans="1:5" x14ac:dyDescent="0.2">
      <c r="A27" t="s">
        <v>1794</v>
      </c>
      <c r="B27" s="10">
        <v>7.39</v>
      </c>
      <c r="C27" s="10">
        <v>6.89</v>
      </c>
      <c r="D27" s="10">
        <v>7.59</v>
      </c>
      <c r="E27" s="11">
        <v>27</v>
      </c>
    </row>
    <row r="28" spans="1:5" x14ac:dyDescent="0.2">
      <c r="A28" t="s">
        <v>1795</v>
      </c>
      <c r="B28" s="10">
        <v>7.8</v>
      </c>
      <c r="C28" s="10">
        <v>5.55</v>
      </c>
      <c r="D28" s="10">
        <v>11.99</v>
      </c>
      <c r="E28" s="11">
        <v>40</v>
      </c>
    </row>
    <row r="29" spans="1:5" x14ac:dyDescent="0.2">
      <c r="A29" t="s">
        <v>1796</v>
      </c>
      <c r="B29" s="10">
        <v>7.46</v>
      </c>
      <c r="C29" s="10">
        <v>6.39</v>
      </c>
      <c r="D29" s="10">
        <v>9.89</v>
      </c>
      <c r="E29" s="11">
        <v>29</v>
      </c>
    </row>
    <row r="30" spans="1:5" x14ac:dyDescent="0.2">
      <c r="A30" t="s">
        <v>1797</v>
      </c>
      <c r="B30" s="10">
        <v>8.19</v>
      </c>
      <c r="C30" s="10">
        <v>7.49</v>
      </c>
      <c r="D30" s="10">
        <v>9.7899999999999991</v>
      </c>
      <c r="E30" s="11">
        <v>47</v>
      </c>
    </row>
    <row r="31" spans="1:5" x14ac:dyDescent="0.2">
      <c r="A31" t="s">
        <v>1798</v>
      </c>
      <c r="B31" s="10">
        <v>7.33</v>
      </c>
      <c r="C31" s="10">
        <v>6.99</v>
      </c>
      <c r="D31" s="10">
        <v>7.39</v>
      </c>
      <c r="E31" s="11">
        <v>23</v>
      </c>
    </row>
    <row r="32" spans="1:5" x14ac:dyDescent="0.2">
      <c r="A32" t="s">
        <v>1799</v>
      </c>
      <c r="B32" s="10">
        <v>8.5399999999999991</v>
      </c>
      <c r="C32" s="10">
        <v>8.49</v>
      </c>
      <c r="D32" s="10">
        <v>8.59</v>
      </c>
      <c r="E32" s="11">
        <v>49</v>
      </c>
    </row>
    <row r="33" spans="1:5" x14ac:dyDescent="0.2">
      <c r="A33" t="s">
        <v>1800</v>
      </c>
      <c r="B33" s="10">
        <v>7.52</v>
      </c>
      <c r="C33" s="10">
        <v>5.89</v>
      </c>
      <c r="D33" s="10">
        <v>11.99</v>
      </c>
      <c r="E33" s="11">
        <v>33</v>
      </c>
    </row>
    <row r="34" spans="1:5" x14ac:dyDescent="0.2">
      <c r="A34" t="s">
        <v>1801</v>
      </c>
      <c r="B34" s="10">
        <v>7.05</v>
      </c>
      <c r="C34" s="10">
        <v>6.39</v>
      </c>
      <c r="D34" s="10">
        <v>8.99</v>
      </c>
      <c r="E34" s="11">
        <v>11</v>
      </c>
    </row>
    <row r="35" spans="1:5" x14ac:dyDescent="0.2">
      <c r="A35" t="s">
        <v>1802</v>
      </c>
      <c r="B35" s="10">
        <v>7.46</v>
      </c>
      <c r="C35" s="10">
        <v>7.39</v>
      </c>
      <c r="D35" s="10">
        <v>7.69</v>
      </c>
      <c r="E35" s="11">
        <v>28</v>
      </c>
    </row>
    <row r="36" spans="1:5" x14ac:dyDescent="0.2">
      <c r="A36" t="s">
        <v>1803</v>
      </c>
      <c r="B36" s="10">
        <v>6.99</v>
      </c>
      <c r="C36" s="10">
        <v>6.29</v>
      </c>
      <c r="D36" s="10">
        <v>7.79</v>
      </c>
      <c r="E36" s="11">
        <v>9</v>
      </c>
    </row>
    <row r="37" spans="1:5" x14ac:dyDescent="0.2">
      <c r="A37" t="s">
        <v>1804</v>
      </c>
      <c r="B37" s="10">
        <v>7.36</v>
      </c>
      <c r="C37" s="10">
        <v>6.59</v>
      </c>
      <c r="D37" s="10">
        <v>8.99</v>
      </c>
      <c r="E37" s="11">
        <v>25</v>
      </c>
    </row>
    <row r="38" spans="1:5" x14ac:dyDescent="0.2">
      <c r="A38" t="s">
        <v>1805</v>
      </c>
      <c r="B38" s="10">
        <v>6.87</v>
      </c>
      <c r="C38" s="10">
        <v>6</v>
      </c>
      <c r="D38" s="10">
        <v>8.2899999999999991</v>
      </c>
      <c r="E38" s="11">
        <v>4</v>
      </c>
    </row>
    <row r="39" spans="1:5" x14ac:dyDescent="0.2">
      <c r="A39" t="s">
        <v>1806</v>
      </c>
      <c r="B39" s="10">
        <v>7.49</v>
      </c>
      <c r="C39" s="10">
        <v>6.59</v>
      </c>
      <c r="D39" s="10">
        <v>8.2899999999999991</v>
      </c>
      <c r="E39" s="11">
        <v>32</v>
      </c>
    </row>
    <row r="40" spans="1:5" x14ac:dyDescent="0.2">
      <c r="A40" t="s">
        <v>1807</v>
      </c>
      <c r="B40" s="10">
        <v>7.07</v>
      </c>
      <c r="C40" s="10">
        <v>6.19</v>
      </c>
      <c r="D40" s="10">
        <v>8.19</v>
      </c>
      <c r="E40" s="11">
        <v>12</v>
      </c>
    </row>
    <row r="41" spans="1:5" x14ac:dyDescent="0.2">
      <c r="A41" t="s">
        <v>1808</v>
      </c>
      <c r="B41" s="10">
        <v>6.98</v>
      </c>
      <c r="C41" s="10">
        <v>6.49</v>
      </c>
      <c r="D41" s="10">
        <v>9.99</v>
      </c>
      <c r="E41" s="11">
        <v>8</v>
      </c>
    </row>
    <row r="42" spans="1:5" x14ac:dyDescent="0.2">
      <c r="A42" t="s">
        <v>1809</v>
      </c>
      <c r="B42" s="10">
        <v>6.82</v>
      </c>
      <c r="C42" s="10">
        <v>6.09</v>
      </c>
      <c r="D42" s="10">
        <v>7.99</v>
      </c>
      <c r="E42" s="11">
        <v>2</v>
      </c>
    </row>
    <row r="43" spans="1:5" x14ac:dyDescent="0.2">
      <c r="A43" t="s">
        <v>1810</v>
      </c>
      <c r="B43" s="10">
        <v>8.69</v>
      </c>
      <c r="C43" s="10">
        <v>8.69</v>
      </c>
      <c r="D43" s="10">
        <v>8.69</v>
      </c>
      <c r="E43" s="11">
        <v>50</v>
      </c>
    </row>
    <row r="44" spans="1:5" x14ac:dyDescent="0.2">
      <c r="A44" t="s">
        <v>1811</v>
      </c>
      <c r="B44" s="10">
        <v>7.27</v>
      </c>
      <c r="C44" s="10">
        <v>5.99</v>
      </c>
      <c r="D44" s="10">
        <v>7.92</v>
      </c>
      <c r="E44" s="11">
        <v>22</v>
      </c>
    </row>
    <row r="45" spans="1:5" x14ac:dyDescent="0.2">
      <c r="A45" t="s">
        <v>1812</v>
      </c>
      <c r="B45" s="10">
        <v>8.33</v>
      </c>
      <c r="C45" s="10">
        <v>7.49</v>
      </c>
      <c r="D45" s="10">
        <v>8.99</v>
      </c>
      <c r="E45" s="11">
        <v>48</v>
      </c>
    </row>
    <row r="46" spans="1:5" x14ac:dyDescent="0.2">
      <c r="A46" t="s">
        <v>1813</v>
      </c>
      <c r="B46" s="10">
        <v>7.47</v>
      </c>
      <c r="C46" s="10">
        <v>5.89</v>
      </c>
      <c r="D46" s="10">
        <v>8.99</v>
      </c>
      <c r="E46" s="11">
        <v>30</v>
      </c>
    </row>
    <row r="47" spans="1:5" x14ac:dyDescent="0.2">
      <c r="A47" t="s">
        <v>1814</v>
      </c>
      <c r="B47" s="10">
        <v>6.99</v>
      </c>
      <c r="C47" s="10">
        <v>6.49</v>
      </c>
      <c r="D47" s="10">
        <v>7.99</v>
      </c>
      <c r="E47" s="11">
        <v>10</v>
      </c>
    </row>
    <row r="48" spans="1:5" x14ac:dyDescent="0.2">
      <c r="A48" t="s">
        <v>1815</v>
      </c>
      <c r="B48" s="10">
        <v>7.16</v>
      </c>
      <c r="C48" s="10">
        <v>5.79</v>
      </c>
      <c r="D48" s="10">
        <v>7.59</v>
      </c>
      <c r="E48" s="11">
        <v>16</v>
      </c>
    </row>
    <row r="49" spans="1:5" x14ac:dyDescent="0.2">
      <c r="A49" t="s">
        <v>1816</v>
      </c>
      <c r="B49" s="10">
        <v>7.36</v>
      </c>
      <c r="C49" s="10">
        <v>6.49</v>
      </c>
      <c r="D49" s="10">
        <v>8.7899999999999991</v>
      </c>
      <c r="E49" s="11">
        <v>26</v>
      </c>
    </row>
    <row r="50" spans="1:5" x14ac:dyDescent="0.2">
      <c r="A50" t="s">
        <v>1817</v>
      </c>
      <c r="B50" s="10">
        <v>7.75</v>
      </c>
      <c r="C50" s="10">
        <v>6.99</v>
      </c>
      <c r="D50" s="10">
        <v>8.2899999999999991</v>
      </c>
      <c r="E50" s="11">
        <v>37</v>
      </c>
    </row>
    <row r="51" spans="1:5" x14ac:dyDescent="0.2">
      <c r="A51" t="s">
        <v>1818</v>
      </c>
      <c r="B51" s="10">
        <v>6.9</v>
      </c>
      <c r="C51" s="10">
        <v>6.49</v>
      </c>
      <c r="D51" s="10">
        <v>7.99</v>
      </c>
      <c r="E51" s="11">
        <v>5</v>
      </c>
    </row>
    <row r="52" spans="1:5" x14ac:dyDescent="0.2">
      <c r="A52" t="s">
        <v>1819</v>
      </c>
      <c r="B52" s="10">
        <v>8.19</v>
      </c>
      <c r="C52" s="10">
        <v>7.79</v>
      </c>
      <c r="D52" s="10">
        <v>8.7899999999999991</v>
      </c>
      <c r="E52" s="11">
        <v>46</v>
      </c>
    </row>
    <row r="53" spans="1:5" x14ac:dyDescent="0.2">
      <c r="A53" t="s">
        <v>1820</v>
      </c>
      <c r="B53" s="10">
        <v>8.69</v>
      </c>
      <c r="C53" s="10">
        <v>8.69</v>
      </c>
      <c r="D53" s="10">
        <v>8.69</v>
      </c>
      <c r="E53" s="11">
        <v>50</v>
      </c>
    </row>
    <row r="54" spans="1:5" x14ac:dyDescent="0.2">
      <c r="A54" t="s">
        <v>1821</v>
      </c>
      <c r="B54" s="10">
        <v>7.7</v>
      </c>
      <c r="C54" s="10">
        <v>6.59</v>
      </c>
      <c r="D54" s="10">
        <v>12.99</v>
      </c>
      <c r="E54" s="11">
        <v>36</v>
      </c>
    </row>
    <row r="55" spans="1:5" x14ac:dyDescent="0.2">
      <c r="A55" t="s">
        <v>1822</v>
      </c>
      <c r="B55" s="10">
        <v>7.14</v>
      </c>
      <c r="C55" s="10">
        <v>5.89</v>
      </c>
      <c r="D55" s="10">
        <v>7.79</v>
      </c>
      <c r="E55" s="11">
        <v>15</v>
      </c>
    </row>
    <row r="56" spans="1:5" x14ac:dyDescent="0.2">
      <c r="A56" t="s">
        <v>1823</v>
      </c>
      <c r="B56" s="10">
        <v>8.1300000000000008</v>
      </c>
      <c r="C56" s="10">
        <v>7.39</v>
      </c>
      <c r="D56" s="10">
        <v>10.99</v>
      </c>
      <c r="E56" s="11">
        <v>45</v>
      </c>
    </row>
    <row r="57" spans="1:5" x14ac:dyDescent="0.2">
      <c r="A57" t="s">
        <v>1824</v>
      </c>
      <c r="B57" s="10">
        <v>7.19</v>
      </c>
      <c r="C57" s="10">
        <v>5.99</v>
      </c>
      <c r="D57" s="10">
        <v>9.59</v>
      </c>
      <c r="E57" s="11">
        <v>17</v>
      </c>
    </row>
    <row r="58" spans="1:5" x14ac:dyDescent="0.2">
      <c r="A58" t="s">
        <v>1825</v>
      </c>
      <c r="B58" s="10">
        <v>6.49</v>
      </c>
      <c r="C58" s="10">
        <v>6.49</v>
      </c>
      <c r="D58" s="10">
        <v>6.49</v>
      </c>
      <c r="E58" s="11">
        <v>1</v>
      </c>
    </row>
    <row r="59" spans="1:5" x14ac:dyDescent="0.2">
      <c r="A59" t="s">
        <v>1826</v>
      </c>
      <c r="B59" s="10">
        <v>7.55</v>
      </c>
      <c r="C59" s="10">
        <v>5.98</v>
      </c>
      <c r="D59" s="10">
        <v>8.49</v>
      </c>
      <c r="E59" s="11">
        <v>34</v>
      </c>
    </row>
    <row r="60" spans="1:5" x14ac:dyDescent="0.2">
      <c r="A60" t="s">
        <v>1827</v>
      </c>
      <c r="B60" s="10">
        <v>7.11</v>
      </c>
      <c r="C60" s="10">
        <v>5.79</v>
      </c>
      <c r="D60" s="10">
        <v>11.79</v>
      </c>
      <c r="E60" s="11">
        <v>13</v>
      </c>
    </row>
    <row r="61" spans="1:5" x14ac:dyDescent="0.2">
      <c r="A61" t="s">
        <v>1828</v>
      </c>
      <c r="B61" s="10">
        <v>7.57</v>
      </c>
      <c r="C61" s="10">
        <v>6.49</v>
      </c>
      <c r="D61" s="10">
        <v>8.19</v>
      </c>
      <c r="E61" s="11">
        <v>35</v>
      </c>
    </row>
    <row r="62" spans="1:5" x14ac:dyDescent="0.2">
      <c r="A62" t="s">
        <v>1829</v>
      </c>
      <c r="B62" s="10">
        <v>7.83</v>
      </c>
      <c r="C62" s="10">
        <v>6.49</v>
      </c>
      <c r="D62" s="10">
        <v>9.99</v>
      </c>
      <c r="E62" s="11">
        <v>41</v>
      </c>
    </row>
    <row r="63" spans="1:5" x14ac:dyDescent="0.2">
      <c r="A63" t="s">
        <v>1830</v>
      </c>
      <c r="B63" s="10">
        <v>7.49</v>
      </c>
      <c r="C63" s="10">
        <v>7.49</v>
      </c>
      <c r="D63" s="10">
        <v>7.49</v>
      </c>
      <c r="E63" s="11">
        <v>31</v>
      </c>
    </row>
    <row r="64" spans="1:5" x14ac:dyDescent="0.2">
      <c r="A64" t="s">
        <v>1831</v>
      </c>
      <c r="B64" s="10">
        <v>7.34</v>
      </c>
      <c r="C64" s="10">
        <v>5.99</v>
      </c>
      <c r="D64" s="10">
        <v>8.99</v>
      </c>
      <c r="E64" s="11">
        <v>24</v>
      </c>
    </row>
    <row r="65" spans="1:5" x14ac:dyDescent="0.2">
      <c r="A65" t="s">
        <v>1832</v>
      </c>
      <c r="B65" s="10">
        <v>6.92</v>
      </c>
      <c r="C65" s="10">
        <v>6.49</v>
      </c>
      <c r="D65" s="10">
        <v>6.99</v>
      </c>
      <c r="E65" s="11">
        <v>6</v>
      </c>
    </row>
    <row r="66" spans="1:5" x14ac:dyDescent="0.2">
      <c r="A66" t="s">
        <v>1833</v>
      </c>
      <c r="B66" s="10">
        <v>7.23</v>
      </c>
      <c r="C66" s="10">
        <v>6.89</v>
      </c>
      <c r="D66" s="10">
        <v>8.99</v>
      </c>
      <c r="E66" s="11">
        <v>19</v>
      </c>
    </row>
    <row r="67" spans="1:5" x14ac:dyDescent="0.2">
      <c r="A67" t="s">
        <v>1834</v>
      </c>
      <c r="B67" s="10">
        <v>6.86</v>
      </c>
      <c r="C67" s="10">
        <v>5.28</v>
      </c>
      <c r="D67" s="10">
        <v>7.79</v>
      </c>
      <c r="E67" s="11">
        <v>3</v>
      </c>
    </row>
    <row r="68" spans="1:5" x14ac:dyDescent="0.2">
      <c r="A68" t="s">
        <v>1835</v>
      </c>
      <c r="B68" s="10">
        <v>7.79</v>
      </c>
      <c r="C68" s="10">
        <v>7.69</v>
      </c>
      <c r="D68" s="10">
        <v>8.2899999999999991</v>
      </c>
      <c r="E68" s="11">
        <v>39</v>
      </c>
    </row>
    <row r="69" spans="1:5" x14ac:dyDescent="0.2">
      <c r="A69" t="s">
        <v>1836</v>
      </c>
      <c r="B69" s="10">
        <v>7.99</v>
      </c>
      <c r="C69" s="10">
        <v>7.99</v>
      </c>
      <c r="D69" s="10">
        <v>7.99</v>
      </c>
      <c r="E69" s="11">
        <v>44</v>
      </c>
    </row>
    <row r="70" spans="1:5" x14ac:dyDescent="0.2">
      <c r="A70" t="s">
        <v>1837</v>
      </c>
      <c r="B70" s="10">
        <v>7.21</v>
      </c>
      <c r="C70" s="10">
        <v>6.49</v>
      </c>
      <c r="D70" s="10">
        <v>7.89</v>
      </c>
      <c r="E70" s="11">
        <v>18</v>
      </c>
    </row>
    <row r="71" spans="1:5" x14ac:dyDescent="0.2">
      <c r="A71" t="s">
        <v>1838</v>
      </c>
      <c r="B71" s="10">
        <v>7.95</v>
      </c>
      <c r="C71" s="10">
        <v>7.49</v>
      </c>
      <c r="D71" s="10">
        <v>8.69</v>
      </c>
      <c r="E71" s="11">
        <v>42</v>
      </c>
    </row>
    <row r="72" spans="1:5" x14ac:dyDescent="0.2">
      <c r="A72" t="s">
        <v>1839</v>
      </c>
      <c r="B72" s="10">
        <v>7.26</v>
      </c>
      <c r="C72" s="10">
        <v>6.89</v>
      </c>
      <c r="D72" s="10">
        <v>9.99</v>
      </c>
      <c r="E72" s="11">
        <v>21</v>
      </c>
    </row>
    <row r="73" spans="1:5" x14ac:dyDescent="0.2">
      <c r="A73" t="s">
        <v>1840</v>
      </c>
      <c r="B73" s="10">
        <v>7.25</v>
      </c>
      <c r="C73" s="10">
        <v>6.19</v>
      </c>
      <c r="D73" s="10">
        <v>8.2899999999999991</v>
      </c>
      <c r="E73" s="11">
        <v>20</v>
      </c>
    </row>
    <row r="74" spans="1:5" x14ac:dyDescent="0.2">
      <c r="A74" t="s">
        <v>1841</v>
      </c>
      <c r="B74" s="10">
        <v>7.14</v>
      </c>
      <c r="C74" s="10">
        <v>6.99</v>
      </c>
      <c r="D74" s="10">
        <v>7.79</v>
      </c>
      <c r="E74" s="11">
        <v>14</v>
      </c>
    </row>
    <row r="78" spans="1:5" ht="31" x14ac:dyDescent="0.2">
      <c r="A78" s="8" t="s">
        <v>1842</v>
      </c>
    </row>
    <row r="79" spans="1:5" x14ac:dyDescent="0.2">
      <c r="A79" t="s">
        <v>1843</v>
      </c>
    </row>
    <row r="80" spans="1:5" x14ac:dyDescent="0.2">
      <c r="A80" t="s">
        <v>1844</v>
      </c>
    </row>
    <row r="84" spans="1:2" x14ac:dyDescent="0.2">
      <c r="A84" s="3" t="s">
        <v>1745</v>
      </c>
      <c r="B84" s="3" t="s">
        <v>1845</v>
      </c>
    </row>
    <row r="85" spans="1:2" ht="34" x14ac:dyDescent="0.2">
      <c r="A85" s="12" t="s">
        <v>1798</v>
      </c>
      <c r="B85" s="12">
        <v>1787</v>
      </c>
    </row>
    <row r="86" spans="1:2" ht="34" x14ac:dyDescent="0.2">
      <c r="A86" s="12" t="s">
        <v>1829</v>
      </c>
      <c r="B86" s="12">
        <v>1787</v>
      </c>
    </row>
    <row r="87" spans="1:2" ht="34" x14ac:dyDescent="0.2">
      <c r="A87" s="12" t="s">
        <v>1821</v>
      </c>
      <c r="B87" s="12">
        <v>1787</v>
      </c>
    </row>
    <row r="88" spans="1:2" ht="17" x14ac:dyDescent="0.2">
      <c r="A88" s="12" t="s">
        <v>1801</v>
      </c>
      <c r="B88" s="12">
        <v>1788</v>
      </c>
    </row>
    <row r="89" spans="1:2" ht="34" x14ac:dyDescent="0.2">
      <c r="A89" s="12" t="s">
        <v>1797</v>
      </c>
      <c r="B89" s="12">
        <v>1788</v>
      </c>
    </row>
    <row r="90" spans="1:2" ht="34" x14ac:dyDescent="0.2">
      <c r="A90" s="12" t="s">
        <v>1812</v>
      </c>
      <c r="B90" s="12">
        <v>1788</v>
      </c>
    </row>
    <row r="91" spans="1:2" ht="17" x14ac:dyDescent="0.2">
      <c r="A91" s="12" t="s">
        <v>1811</v>
      </c>
      <c r="B91" s="12">
        <v>1788</v>
      </c>
    </row>
    <row r="92" spans="1:2" ht="34" x14ac:dyDescent="0.2">
      <c r="A92" s="12" t="s">
        <v>1831</v>
      </c>
      <c r="B92" s="12">
        <v>1788</v>
      </c>
    </row>
    <row r="93" spans="1:2" ht="51" x14ac:dyDescent="0.2">
      <c r="A93" s="12" t="s">
        <v>1820</v>
      </c>
      <c r="B93" s="12">
        <v>1788</v>
      </c>
    </row>
    <row r="94" spans="1:2" ht="17" x14ac:dyDescent="0.2">
      <c r="A94" s="12" t="s">
        <v>1837</v>
      </c>
      <c r="B94" s="12">
        <v>1788</v>
      </c>
    </row>
    <row r="95" spans="1:2" ht="34" x14ac:dyDescent="0.2">
      <c r="A95" s="12" t="s">
        <v>1823</v>
      </c>
      <c r="B95" s="12">
        <v>1788</v>
      </c>
    </row>
    <row r="96" spans="1:2" ht="34" x14ac:dyDescent="0.2">
      <c r="A96" s="12" t="s">
        <v>1824</v>
      </c>
      <c r="B96" s="12">
        <v>1789</v>
      </c>
    </row>
    <row r="97" spans="1:2" ht="34" x14ac:dyDescent="0.2">
      <c r="A97" s="12" t="s">
        <v>1830</v>
      </c>
      <c r="B97" s="12">
        <v>1790</v>
      </c>
    </row>
    <row r="98" spans="1:2" ht="17" x14ac:dyDescent="0.2">
      <c r="A98" s="12" t="s">
        <v>1836</v>
      </c>
      <c r="B98" s="12">
        <v>1791</v>
      </c>
    </row>
    <row r="99" spans="1:2" ht="17" x14ac:dyDescent="0.2">
      <c r="A99" s="12" t="s">
        <v>1808</v>
      </c>
      <c r="B99" s="12">
        <v>1792</v>
      </c>
    </row>
    <row r="100" spans="1:2" ht="34" x14ac:dyDescent="0.2">
      <c r="A100" s="12" t="s">
        <v>1833</v>
      </c>
      <c r="B100" s="12">
        <v>1796</v>
      </c>
    </row>
    <row r="101" spans="1:2" ht="17" x14ac:dyDescent="0.2">
      <c r="A101" s="12" t="s">
        <v>1826</v>
      </c>
      <c r="B101" s="12">
        <v>1803</v>
      </c>
    </row>
    <row r="102" spans="1:2" ht="17" x14ac:dyDescent="0.2">
      <c r="A102" s="12" t="s">
        <v>1809</v>
      </c>
      <c r="B102" s="12">
        <v>1812</v>
      </c>
    </row>
    <row r="103" spans="1:2" ht="17" x14ac:dyDescent="0.2">
      <c r="A103" s="12" t="s">
        <v>1805</v>
      </c>
      <c r="B103" s="12">
        <v>1816</v>
      </c>
    </row>
    <row r="104" spans="1:2" ht="34" x14ac:dyDescent="0.2">
      <c r="A104" s="12" t="s">
        <v>1815</v>
      </c>
      <c r="B104" s="12">
        <v>1817</v>
      </c>
    </row>
    <row r="105" spans="1:2" ht="17" x14ac:dyDescent="0.2">
      <c r="A105" s="12" t="s">
        <v>1804</v>
      </c>
      <c r="B105" s="12">
        <v>1818</v>
      </c>
    </row>
    <row r="106" spans="1:2" ht="17" x14ac:dyDescent="0.2">
      <c r="A106" s="12" t="s">
        <v>1791</v>
      </c>
      <c r="B106" s="12">
        <v>1819</v>
      </c>
    </row>
    <row r="107" spans="1:2" ht="17" x14ac:dyDescent="0.2">
      <c r="A107" s="12" t="s">
        <v>1810</v>
      </c>
      <c r="B107" s="12">
        <v>1820</v>
      </c>
    </row>
    <row r="108" spans="1:2" ht="17" x14ac:dyDescent="0.2">
      <c r="A108" s="12" t="s">
        <v>1816</v>
      </c>
      <c r="B108" s="12">
        <v>1821</v>
      </c>
    </row>
    <row r="109" spans="1:2" ht="17" x14ac:dyDescent="0.2">
      <c r="A109" s="12" t="s">
        <v>1794</v>
      </c>
      <c r="B109" s="12">
        <v>1836</v>
      </c>
    </row>
    <row r="110" spans="1:2" ht="17" x14ac:dyDescent="0.2">
      <c r="A110" s="12" t="s">
        <v>1813</v>
      </c>
      <c r="B110" s="12">
        <v>1837</v>
      </c>
    </row>
    <row r="111" spans="1:2" ht="17" x14ac:dyDescent="0.2">
      <c r="A111" s="12" t="s">
        <v>1800</v>
      </c>
      <c r="B111" s="12">
        <v>1845</v>
      </c>
    </row>
    <row r="112" spans="1:2" ht="17" x14ac:dyDescent="0.2">
      <c r="A112" s="12" t="s">
        <v>1834</v>
      </c>
      <c r="B112" s="12">
        <v>1845</v>
      </c>
    </row>
    <row r="113" spans="1:2" ht="17" x14ac:dyDescent="0.2">
      <c r="A113" s="12" t="s">
        <v>1806</v>
      </c>
      <c r="B113" s="12">
        <v>1846</v>
      </c>
    </row>
    <row r="114" spans="1:2" ht="34" x14ac:dyDescent="0.2">
      <c r="A114" s="12" t="s">
        <v>1840</v>
      </c>
      <c r="B114" s="12">
        <v>1848</v>
      </c>
    </row>
    <row r="115" spans="1:2" ht="34" x14ac:dyDescent="0.2">
      <c r="A115" s="12" t="s">
        <v>1795</v>
      </c>
      <c r="B115" s="12">
        <v>1850</v>
      </c>
    </row>
    <row r="116" spans="1:2" ht="34" x14ac:dyDescent="0.2">
      <c r="A116" s="12" t="s">
        <v>1814</v>
      </c>
      <c r="B116" s="12">
        <v>1858</v>
      </c>
    </row>
    <row r="117" spans="1:2" ht="17" x14ac:dyDescent="0.2">
      <c r="A117" s="12" t="s">
        <v>1828</v>
      </c>
      <c r="B117" s="12">
        <v>1859</v>
      </c>
    </row>
    <row r="118" spans="1:2" ht="17" x14ac:dyDescent="0.2">
      <c r="A118" s="12" t="s">
        <v>1807</v>
      </c>
      <c r="B118" s="12">
        <v>1861</v>
      </c>
    </row>
    <row r="119" spans="1:2" ht="34" x14ac:dyDescent="0.2">
      <c r="A119" s="12" t="s">
        <v>1839</v>
      </c>
      <c r="B119" s="12">
        <v>1863</v>
      </c>
    </row>
    <row r="120" spans="1:2" ht="17" x14ac:dyDescent="0.2">
      <c r="A120" s="12" t="s">
        <v>1819</v>
      </c>
      <c r="B120" s="12">
        <v>1864</v>
      </c>
    </row>
    <row r="121" spans="1:2" ht="17" x14ac:dyDescent="0.2">
      <c r="A121" s="12" t="s">
        <v>1818</v>
      </c>
      <c r="B121" s="12">
        <v>1867</v>
      </c>
    </row>
    <row r="122" spans="1:2" ht="17" x14ac:dyDescent="0.2">
      <c r="A122" s="12" t="s">
        <v>1796</v>
      </c>
      <c r="B122" s="12">
        <v>1876</v>
      </c>
    </row>
    <row r="123" spans="1:2" ht="34" x14ac:dyDescent="0.2">
      <c r="A123" s="12" t="s">
        <v>1825</v>
      </c>
      <c r="B123" s="12">
        <v>1889</v>
      </c>
    </row>
    <row r="124" spans="1:2" ht="34" x14ac:dyDescent="0.2">
      <c r="A124" s="12" t="s">
        <v>1832</v>
      </c>
      <c r="B124" s="12">
        <v>1889</v>
      </c>
    </row>
    <row r="125" spans="1:2" ht="17" x14ac:dyDescent="0.2">
      <c r="A125" s="12" t="s">
        <v>1817</v>
      </c>
      <c r="B125" s="12">
        <v>1889</v>
      </c>
    </row>
    <row r="126" spans="1:2" ht="34" x14ac:dyDescent="0.2">
      <c r="A126" s="12" t="s">
        <v>1838</v>
      </c>
      <c r="B126" s="12">
        <v>1889</v>
      </c>
    </row>
    <row r="127" spans="1:2" ht="17" x14ac:dyDescent="0.2">
      <c r="A127" s="12" t="s">
        <v>1803</v>
      </c>
      <c r="B127" s="12">
        <v>1890</v>
      </c>
    </row>
    <row r="128" spans="1:2" ht="34" x14ac:dyDescent="0.2">
      <c r="A128" s="12" t="s">
        <v>1841</v>
      </c>
      <c r="B128" s="12">
        <v>1890</v>
      </c>
    </row>
    <row r="129" spans="1:2" ht="17" x14ac:dyDescent="0.2">
      <c r="A129" s="12" t="s">
        <v>1835</v>
      </c>
      <c r="B129" s="12">
        <v>1896</v>
      </c>
    </row>
    <row r="130" spans="1:2" ht="34" x14ac:dyDescent="0.2">
      <c r="A130" s="12" t="s">
        <v>1827</v>
      </c>
      <c r="B130" s="12">
        <v>1907</v>
      </c>
    </row>
    <row r="131" spans="1:2" ht="34" x14ac:dyDescent="0.2">
      <c r="A131" s="12" t="s">
        <v>1822</v>
      </c>
      <c r="B131" s="12">
        <v>1912</v>
      </c>
    </row>
    <row r="132" spans="1:2" ht="17" x14ac:dyDescent="0.2">
      <c r="A132" s="12" t="s">
        <v>1793</v>
      </c>
      <c r="B132" s="12">
        <v>1912</v>
      </c>
    </row>
    <row r="133" spans="1:2" ht="17" x14ac:dyDescent="0.2">
      <c r="A133" s="12" t="s">
        <v>1792</v>
      </c>
      <c r="B133" s="12">
        <v>1959</v>
      </c>
    </row>
    <row r="134" spans="1:2" ht="17" x14ac:dyDescent="0.2">
      <c r="A134" s="12" t="s">
        <v>1802</v>
      </c>
      <c r="B134" s="12">
        <v>1959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8"/>
  <sheetViews>
    <sheetView workbookViewId="0">
      <selection sqref="A1:B1"/>
    </sheetView>
  </sheetViews>
  <sheetFormatPr baseColWidth="10" defaultColWidth="11" defaultRowHeight="16" x14ac:dyDescent="0.2"/>
  <sheetData>
    <row r="1" spans="1:25" ht="15.75" customHeight="1" x14ac:dyDescent="0.2">
      <c r="A1" s="16" t="s">
        <v>1</v>
      </c>
      <c r="B1" s="16"/>
      <c r="C1" s="17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2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</row>
    <row r="3" spans="1:25" x14ac:dyDescent="0.2">
      <c r="A3" s="17" t="s">
        <v>3</v>
      </c>
      <c r="B3">
        <v>1950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6</v>
      </c>
      <c r="P3">
        <v>3</v>
      </c>
      <c r="Q3">
        <v>0</v>
      </c>
      <c r="R3">
        <v>0</v>
      </c>
      <c r="S3">
        <v>1</v>
      </c>
      <c r="T3">
        <v>6</v>
      </c>
      <c r="U3">
        <v>3</v>
      </c>
      <c r="V3">
        <v>1</v>
      </c>
      <c r="W3">
        <v>6</v>
      </c>
      <c r="X3">
        <v>3</v>
      </c>
      <c r="Y3">
        <v>4.2</v>
      </c>
    </row>
    <row r="4" spans="1:25" x14ac:dyDescent="0.2">
      <c r="A4" s="17"/>
      <c r="B4">
        <v>1951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5</v>
      </c>
      <c r="P4">
        <v>3</v>
      </c>
      <c r="Q4">
        <v>0</v>
      </c>
      <c r="R4">
        <v>1</v>
      </c>
      <c r="S4">
        <v>1</v>
      </c>
      <c r="T4">
        <v>5</v>
      </c>
      <c r="U4">
        <v>3</v>
      </c>
      <c r="V4">
        <v>1</v>
      </c>
      <c r="W4">
        <v>5</v>
      </c>
      <c r="X4">
        <v>3</v>
      </c>
      <c r="Y4">
        <v>4</v>
      </c>
    </row>
    <row r="5" spans="1:25" x14ac:dyDescent="0.2">
      <c r="A5" s="17"/>
      <c r="B5">
        <v>1952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7</v>
      </c>
      <c r="Q5">
        <v>0</v>
      </c>
      <c r="R5">
        <v>0</v>
      </c>
      <c r="S5">
        <v>1</v>
      </c>
      <c r="T5">
        <v>2</v>
      </c>
      <c r="U5">
        <v>7</v>
      </c>
      <c r="V5">
        <v>1</v>
      </c>
      <c r="W5">
        <v>2</v>
      </c>
      <c r="X5">
        <v>7</v>
      </c>
      <c r="Y5">
        <v>4.4000000000000004</v>
      </c>
    </row>
    <row r="6" spans="1:25" x14ac:dyDescent="0.2">
      <c r="A6" s="17"/>
      <c r="B6">
        <v>1953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4</v>
      </c>
      <c r="P6">
        <v>5</v>
      </c>
      <c r="Q6">
        <v>0</v>
      </c>
      <c r="R6">
        <v>0</v>
      </c>
      <c r="S6">
        <v>1</v>
      </c>
      <c r="T6">
        <v>4</v>
      </c>
      <c r="U6">
        <v>5</v>
      </c>
      <c r="V6">
        <v>1</v>
      </c>
      <c r="W6">
        <v>4</v>
      </c>
      <c r="X6">
        <v>5</v>
      </c>
      <c r="Y6">
        <v>4.4000000000000004</v>
      </c>
    </row>
    <row r="7" spans="1:25" x14ac:dyDescent="0.2">
      <c r="A7" s="17"/>
      <c r="B7">
        <v>1954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</v>
      </c>
      <c r="P7">
        <v>7</v>
      </c>
      <c r="Q7">
        <v>0</v>
      </c>
      <c r="R7">
        <v>0</v>
      </c>
      <c r="S7">
        <v>0</v>
      </c>
      <c r="T7">
        <v>3</v>
      </c>
      <c r="U7">
        <v>7</v>
      </c>
      <c r="V7">
        <v>0</v>
      </c>
      <c r="W7">
        <v>3</v>
      </c>
      <c r="X7">
        <v>7</v>
      </c>
      <c r="Y7">
        <v>4.7</v>
      </c>
    </row>
    <row r="8" spans="1:25" x14ac:dyDescent="0.2">
      <c r="A8" s="17"/>
      <c r="B8">
        <v>1955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4</v>
      </c>
      <c r="Q8">
        <v>0</v>
      </c>
      <c r="R8">
        <v>0</v>
      </c>
      <c r="S8">
        <v>1</v>
      </c>
      <c r="T8">
        <v>5</v>
      </c>
      <c r="U8">
        <v>4</v>
      </c>
      <c r="V8">
        <v>1</v>
      </c>
      <c r="W8">
        <v>5</v>
      </c>
      <c r="X8">
        <v>4</v>
      </c>
      <c r="Y8">
        <v>4.3</v>
      </c>
    </row>
    <row r="9" spans="1:25" x14ac:dyDescent="0.2">
      <c r="A9" s="17"/>
      <c r="B9">
        <v>1956</v>
      </c>
      <c r="C9">
        <v>0</v>
      </c>
      <c r="D9">
        <v>0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4</v>
      </c>
      <c r="P9">
        <v>3</v>
      </c>
      <c r="Q9">
        <v>0</v>
      </c>
      <c r="R9">
        <v>0</v>
      </c>
      <c r="S9">
        <v>2</v>
      </c>
      <c r="T9">
        <v>4</v>
      </c>
      <c r="U9">
        <v>3</v>
      </c>
      <c r="V9">
        <v>2</v>
      </c>
      <c r="W9">
        <v>4</v>
      </c>
      <c r="X9">
        <v>3</v>
      </c>
      <c r="Y9">
        <v>4.1100000000000003</v>
      </c>
    </row>
    <row r="10" spans="1:25" x14ac:dyDescent="0.2">
      <c r="A10" s="17"/>
      <c r="B10">
        <v>1957</v>
      </c>
      <c r="C10">
        <v>0</v>
      </c>
      <c r="D10">
        <v>0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4</v>
      </c>
      <c r="P10">
        <v>4</v>
      </c>
      <c r="Q10">
        <v>0</v>
      </c>
      <c r="R10">
        <v>0</v>
      </c>
      <c r="S10">
        <v>2</v>
      </c>
      <c r="T10">
        <v>4</v>
      </c>
      <c r="U10">
        <v>4</v>
      </c>
      <c r="V10">
        <v>2</v>
      </c>
      <c r="W10">
        <v>4</v>
      </c>
      <c r="X10">
        <v>4</v>
      </c>
      <c r="Y10">
        <v>4.2</v>
      </c>
    </row>
    <row r="11" spans="1:25" x14ac:dyDescent="0.2">
      <c r="A11" s="17"/>
      <c r="B11">
        <v>1958</v>
      </c>
      <c r="C11">
        <v>0</v>
      </c>
      <c r="D11">
        <v>0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6</v>
      </c>
      <c r="P11">
        <v>2</v>
      </c>
      <c r="Q11">
        <v>0</v>
      </c>
      <c r="R11">
        <v>0</v>
      </c>
      <c r="S11">
        <v>2</v>
      </c>
      <c r="T11">
        <v>6</v>
      </c>
      <c r="U11">
        <v>2</v>
      </c>
      <c r="V11">
        <v>2</v>
      </c>
      <c r="W11">
        <v>6</v>
      </c>
      <c r="X11">
        <v>2</v>
      </c>
      <c r="Y11">
        <v>4</v>
      </c>
    </row>
    <row r="12" spans="1:25" x14ac:dyDescent="0.2">
      <c r="A12" s="17"/>
      <c r="B12">
        <v>1959</v>
      </c>
      <c r="C12">
        <v>0</v>
      </c>
      <c r="D12">
        <v>0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5</v>
      </c>
      <c r="P12">
        <v>3</v>
      </c>
      <c r="Q12">
        <v>0</v>
      </c>
      <c r="R12">
        <v>0</v>
      </c>
      <c r="S12">
        <v>2</v>
      </c>
      <c r="T12">
        <v>5</v>
      </c>
      <c r="U12">
        <v>3</v>
      </c>
      <c r="V12">
        <v>2</v>
      </c>
      <c r="W12">
        <v>5</v>
      </c>
      <c r="X12">
        <v>3</v>
      </c>
      <c r="Y12">
        <v>4.0999999999999996</v>
      </c>
    </row>
    <row r="13" spans="1:25" x14ac:dyDescent="0.2">
      <c r="A13" s="17"/>
      <c r="B13">
        <v>1960</v>
      </c>
      <c r="C13">
        <v>0</v>
      </c>
      <c r="D13">
        <v>0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5</v>
      </c>
      <c r="P13">
        <v>3</v>
      </c>
      <c r="Q13">
        <v>0</v>
      </c>
      <c r="R13">
        <v>0</v>
      </c>
      <c r="S13">
        <v>2</v>
      </c>
      <c r="T13">
        <v>5</v>
      </c>
      <c r="U13">
        <v>3</v>
      </c>
      <c r="V13">
        <v>2</v>
      </c>
      <c r="W13">
        <v>5</v>
      </c>
      <c r="X13">
        <v>3</v>
      </c>
      <c r="Y13">
        <v>4.0999999999999996</v>
      </c>
    </row>
    <row r="14" spans="1:25" x14ac:dyDescent="0.2">
      <c r="B14">
        <v>1961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6</v>
      </c>
      <c r="P14">
        <v>3</v>
      </c>
      <c r="Q14">
        <v>0</v>
      </c>
      <c r="R14">
        <v>0</v>
      </c>
      <c r="S14">
        <v>1</v>
      </c>
      <c r="T14">
        <v>6</v>
      </c>
      <c r="U14">
        <v>3</v>
      </c>
      <c r="V14">
        <v>1</v>
      </c>
      <c r="W14">
        <v>6</v>
      </c>
      <c r="X14">
        <v>3</v>
      </c>
      <c r="Y14">
        <v>4.2</v>
      </c>
    </row>
    <row r="15" spans="1:25" x14ac:dyDescent="0.2">
      <c r="B15">
        <v>1962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5</v>
      </c>
      <c r="P15">
        <v>3</v>
      </c>
      <c r="Q15">
        <v>0</v>
      </c>
      <c r="R15">
        <v>1</v>
      </c>
      <c r="S15">
        <v>1</v>
      </c>
      <c r="T15">
        <v>5</v>
      </c>
      <c r="U15">
        <v>3</v>
      </c>
      <c r="V15">
        <v>1</v>
      </c>
      <c r="W15">
        <v>5</v>
      </c>
      <c r="X15">
        <v>3</v>
      </c>
      <c r="Y15">
        <v>4</v>
      </c>
    </row>
    <row r="16" spans="1:25" x14ac:dyDescent="0.2">
      <c r="B16">
        <v>1963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2</v>
      </c>
      <c r="P16">
        <v>7</v>
      </c>
      <c r="Q16">
        <v>0</v>
      </c>
      <c r="R16">
        <v>0</v>
      </c>
      <c r="S16">
        <v>1</v>
      </c>
      <c r="T16">
        <v>2</v>
      </c>
      <c r="U16">
        <v>7</v>
      </c>
      <c r="V16">
        <v>1</v>
      </c>
      <c r="W16">
        <v>2</v>
      </c>
      <c r="X16">
        <v>7</v>
      </c>
      <c r="Y16">
        <v>4.4000000000000004</v>
      </c>
    </row>
    <row r="17" spans="2:25" x14ac:dyDescent="0.2">
      <c r="B17">
        <v>1964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4</v>
      </c>
      <c r="P17">
        <v>5</v>
      </c>
      <c r="Q17">
        <v>0</v>
      </c>
      <c r="R17">
        <v>0</v>
      </c>
      <c r="S17">
        <v>1</v>
      </c>
      <c r="T17">
        <v>4</v>
      </c>
      <c r="U17">
        <v>5</v>
      </c>
      <c r="V17">
        <v>1</v>
      </c>
      <c r="W17">
        <v>4</v>
      </c>
      <c r="X17">
        <v>5</v>
      </c>
      <c r="Y17">
        <v>4.4000000000000004</v>
      </c>
    </row>
    <row r="18" spans="2:25" x14ac:dyDescent="0.2">
      <c r="B18">
        <v>1965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</v>
      </c>
      <c r="P18">
        <v>7</v>
      </c>
      <c r="Q18">
        <v>0</v>
      </c>
      <c r="R18">
        <v>0</v>
      </c>
      <c r="S18">
        <v>0</v>
      </c>
      <c r="T18">
        <v>3</v>
      </c>
      <c r="U18">
        <v>7</v>
      </c>
      <c r="V18">
        <v>0</v>
      </c>
      <c r="W18">
        <v>3</v>
      </c>
      <c r="X18">
        <v>7</v>
      </c>
      <c r="Y18">
        <v>4.7</v>
      </c>
    </row>
    <row r="19" spans="2:25" x14ac:dyDescent="0.2">
      <c r="B19">
        <v>1966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4</v>
      </c>
      <c r="Q19">
        <v>0</v>
      </c>
      <c r="R19">
        <v>0</v>
      </c>
      <c r="S19">
        <v>1</v>
      </c>
      <c r="T19">
        <v>5</v>
      </c>
      <c r="U19">
        <v>4</v>
      </c>
      <c r="V19">
        <v>1</v>
      </c>
      <c r="W19">
        <v>5</v>
      </c>
      <c r="X19">
        <v>4</v>
      </c>
      <c r="Y19">
        <v>4.3</v>
      </c>
    </row>
    <row r="20" spans="2:25" x14ac:dyDescent="0.2">
      <c r="B20">
        <v>1967</v>
      </c>
      <c r="C20">
        <v>0</v>
      </c>
      <c r="D20">
        <v>0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4</v>
      </c>
      <c r="P20">
        <v>3</v>
      </c>
      <c r="Q20">
        <v>0</v>
      </c>
      <c r="R20">
        <v>0</v>
      </c>
      <c r="S20">
        <v>2</v>
      </c>
      <c r="T20">
        <v>4</v>
      </c>
      <c r="U20">
        <v>3</v>
      </c>
      <c r="V20">
        <v>2</v>
      </c>
      <c r="W20">
        <v>4</v>
      </c>
      <c r="X20">
        <v>3</v>
      </c>
      <c r="Y20">
        <v>4.1100000000000003</v>
      </c>
    </row>
    <row r="21" spans="2:25" x14ac:dyDescent="0.2">
      <c r="B21">
        <v>1968</v>
      </c>
      <c r="C21">
        <v>0</v>
      </c>
      <c r="D21">
        <v>0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4</v>
      </c>
      <c r="P21">
        <v>4</v>
      </c>
      <c r="Q21">
        <v>0</v>
      </c>
      <c r="R21">
        <v>0</v>
      </c>
      <c r="S21">
        <v>2</v>
      </c>
      <c r="T21">
        <v>4</v>
      </c>
      <c r="U21">
        <v>4</v>
      </c>
      <c r="V21">
        <v>2</v>
      </c>
      <c r="W21">
        <v>4</v>
      </c>
      <c r="X21">
        <v>4</v>
      </c>
      <c r="Y21">
        <v>4.2</v>
      </c>
    </row>
    <row r="22" spans="2:25" x14ac:dyDescent="0.2">
      <c r="B22">
        <v>1969</v>
      </c>
      <c r="C22">
        <v>0</v>
      </c>
      <c r="D22">
        <v>0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6</v>
      </c>
      <c r="P22">
        <v>2</v>
      </c>
      <c r="Q22">
        <v>0</v>
      </c>
      <c r="R22">
        <v>0</v>
      </c>
      <c r="S22">
        <v>2</v>
      </c>
      <c r="T22">
        <v>6</v>
      </c>
      <c r="U22">
        <v>2</v>
      </c>
      <c r="V22">
        <v>2</v>
      </c>
      <c r="W22">
        <v>6</v>
      </c>
      <c r="X22">
        <v>2</v>
      </c>
      <c r="Y22">
        <v>4</v>
      </c>
    </row>
    <row r="23" spans="2:25" x14ac:dyDescent="0.2">
      <c r="B23">
        <v>1970</v>
      </c>
      <c r="C23">
        <v>0</v>
      </c>
      <c r="D23">
        <v>0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5</v>
      </c>
      <c r="P23">
        <v>3</v>
      </c>
      <c r="Q23">
        <v>0</v>
      </c>
      <c r="R23">
        <v>0</v>
      </c>
      <c r="S23">
        <v>2</v>
      </c>
      <c r="T23">
        <v>5</v>
      </c>
      <c r="U23">
        <v>3</v>
      </c>
      <c r="V23">
        <v>2</v>
      </c>
      <c r="W23">
        <v>5</v>
      </c>
      <c r="X23">
        <v>3</v>
      </c>
      <c r="Y23">
        <v>4.0999999999999996</v>
      </c>
    </row>
    <row r="24" spans="2:25" x14ac:dyDescent="0.2">
      <c r="B24">
        <v>1971</v>
      </c>
      <c r="C24">
        <v>0</v>
      </c>
      <c r="D24">
        <v>0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5</v>
      </c>
      <c r="P24">
        <v>3</v>
      </c>
      <c r="Q24">
        <v>0</v>
      </c>
      <c r="R24">
        <v>0</v>
      </c>
      <c r="S24">
        <v>2</v>
      </c>
      <c r="T24">
        <v>5</v>
      </c>
      <c r="U24">
        <v>3</v>
      </c>
      <c r="V24">
        <v>2</v>
      </c>
      <c r="W24">
        <v>5</v>
      </c>
      <c r="X24">
        <v>3</v>
      </c>
      <c r="Y24">
        <v>4.0999999999999996</v>
      </c>
    </row>
    <row r="25" spans="2:25" x14ac:dyDescent="0.2">
      <c r="B25">
        <v>1972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6</v>
      </c>
      <c r="P25">
        <v>3</v>
      </c>
      <c r="Q25">
        <v>0</v>
      </c>
      <c r="R25">
        <v>0</v>
      </c>
      <c r="S25">
        <v>1</v>
      </c>
      <c r="T25">
        <v>6</v>
      </c>
      <c r="U25">
        <v>3</v>
      </c>
      <c r="V25">
        <v>1</v>
      </c>
      <c r="W25">
        <v>6</v>
      </c>
      <c r="X25">
        <v>3</v>
      </c>
      <c r="Y25">
        <v>4.2</v>
      </c>
    </row>
    <row r="26" spans="2:25" x14ac:dyDescent="0.2">
      <c r="B26">
        <v>1973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5</v>
      </c>
      <c r="P26">
        <v>3</v>
      </c>
      <c r="Q26">
        <v>0</v>
      </c>
      <c r="R26">
        <v>1</v>
      </c>
      <c r="S26">
        <v>1</v>
      </c>
      <c r="T26">
        <v>5</v>
      </c>
      <c r="U26">
        <v>3</v>
      </c>
      <c r="V26">
        <v>1</v>
      </c>
      <c r="W26">
        <v>5</v>
      </c>
      <c r="X26">
        <v>3</v>
      </c>
      <c r="Y26">
        <v>4</v>
      </c>
    </row>
    <row r="27" spans="2:25" x14ac:dyDescent="0.2">
      <c r="B27">
        <v>1974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  <c r="P27">
        <v>7</v>
      </c>
      <c r="Q27">
        <v>0</v>
      </c>
      <c r="R27">
        <v>0</v>
      </c>
      <c r="S27">
        <v>1</v>
      </c>
      <c r="T27">
        <v>2</v>
      </c>
      <c r="U27">
        <v>7</v>
      </c>
      <c r="V27">
        <v>1</v>
      </c>
      <c r="W27">
        <v>2</v>
      </c>
      <c r="X27">
        <v>7</v>
      </c>
      <c r="Y27">
        <v>4.4000000000000004</v>
      </c>
    </row>
    <row r="28" spans="2:25" x14ac:dyDescent="0.2">
      <c r="B28">
        <v>1975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4</v>
      </c>
      <c r="P28">
        <v>5</v>
      </c>
      <c r="Q28">
        <v>0</v>
      </c>
      <c r="R28">
        <v>0</v>
      </c>
      <c r="S28">
        <v>1</v>
      </c>
      <c r="T28">
        <v>4</v>
      </c>
      <c r="U28">
        <v>5</v>
      </c>
      <c r="V28">
        <v>1</v>
      </c>
      <c r="W28">
        <v>4</v>
      </c>
      <c r="X28">
        <v>5</v>
      </c>
      <c r="Y28">
        <v>4.4000000000000004</v>
      </c>
    </row>
    <row r="29" spans="2:25" x14ac:dyDescent="0.2">
      <c r="B29">
        <v>1976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</v>
      </c>
      <c r="P29">
        <v>7</v>
      </c>
      <c r="Q29">
        <v>0</v>
      </c>
      <c r="R29">
        <v>0</v>
      </c>
      <c r="S29">
        <v>0</v>
      </c>
      <c r="T29">
        <v>3</v>
      </c>
      <c r="U29">
        <v>7</v>
      </c>
      <c r="V29">
        <v>0</v>
      </c>
      <c r="W29">
        <v>3</v>
      </c>
      <c r="X29">
        <v>7</v>
      </c>
      <c r="Y29">
        <v>4.7</v>
      </c>
    </row>
    <row r="30" spans="2:25" x14ac:dyDescent="0.2">
      <c r="B30">
        <v>1977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5</v>
      </c>
      <c r="P30">
        <v>4</v>
      </c>
      <c r="Q30">
        <v>0</v>
      </c>
      <c r="R30">
        <v>0</v>
      </c>
      <c r="S30">
        <v>1</v>
      </c>
      <c r="T30">
        <v>5</v>
      </c>
      <c r="U30">
        <v>4</v>
      </c>
      <c r="V30">
        <v>1</v>
      </c>
      <c r="W30">
        <v>5</v>
      </c>
      <c r="X30">
        <v>4</v>
      </c>
      <c r="Y30">
        <v>4.3</v>
      </c>
    </row>
    <row r="31" spans="2:25" x14ac:dyDescent="0.2">
      <c r="B31">
        <v>1978</v>
      </c>
      <c r="C31">
        <v>0</v>
      </c>
      <c r="D31">
        <v>0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4</v>
      </c>
      <c r="P31">
        <v>3</v>
      </c>
      <c r="Q31">
        <v>0</v>
      </c>
      <c r="R31">
        <v>0</v>
      </c>
      <c r="S31">
        <v>2</v>
      </c>
      <c r="T31">
        <v>4</v>
      </c>
      <c r="U31">
        <v>3</v>
      </c>
      <c r="V31">
        <v>2</v>
      </c>
      <c r="W31">
        <v>4</v>
      </c>
      <c r="X31">
        <v>3</v>
      </c>
      <c r="Y31">
        <v>4.1100000000000003</v>
      </c>
    </row>
    <row r="32" spans="2:25" x14ac:dyDescent="0.2">
      <c r="B32">
        <v>1979</v>
      </c>
      <c r="C32">
        <v>0</v>
      </c>
      <c r="D32">
        <v>0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4</v>
      </c>
      <c r="P32">
        <v>4</v>
      </c>
      <c r="Q32">
        <v>0</v>
      </c>
      <c r="R32">
        <v>0</v>
      </c>
      <c r="S32">
        <v>2</v>
      </c>
      <c r="T32">
        <v>4</v>
      </c>
      <c r="U32">
        <v>4</v>
      </c>
      <c r="V32">
        <v>2</v>
      </c>
      <c r="W32">
        <v>4</v>
      </c>
      <c r="X32">
        <v>4</v>
      </c>
      <c r="Y32">
        <v>4.2</v>
      </c>
    </row>
    <row r="33" spans="2:25" x14ac:dyDescent="0.2">
      <c r="B33">
        <v>1980</v>
      </c>
      <c r="C33">
        <v>0</v>
      </c>
      <c r="D33">
        <v>0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6</v>
      </c>
      <c r="P33">
        <v>2</v>
      </c>
      <c r="Q33">
        <v>0</v>
      </c>
      <c r="R33">
        <v>0</v>
      </c>
      <c r="S33">
        <v>2</v>
      </c>
      <c r="T33">
        <v>6</v>
      </c>
      <c r="U33">
        <v>2</v>
      </c>
      <c r="V33">
        <v>2</v>
      </c>
      <c r="W33">
        <v>6</v>
      </c>
      <c r="X33">
        <v>2</v>
      </c>
      <c r="Y33">
        <v>4</v>
      </c>
    </row>
    <row r="34" spans="2:25" x14ac:dyDescent="0.2">
      <c r="B34">
        <v>1981</v>
      </c>
      <c r="C34">
        <v>0</v>
      </c>
      <c r="D34">
        <v>0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5</v>
      </c>
      <c r="P34">
        <v>3</v>
      </c>
      <c r="Q34">
        <v>0</v>
      </c>
      <c r="R34">
        <v>0</v>
      </c>
      <c r="S34">
        <v>2</v>
      </c>
      <c r="T34">
        <v>5</v>
      </c>
      <c r="U34">
        <v>3</v>
      </c>
      <c r="V34">
        <v>2</v>
      </c>
      <c r="W34">
        <v>5</v>
      </c>
      <c r="X34">
        <v>3</v>
      </c>
      <c r="Y34">
        <v>4.0999999999999996</v>
      </c>
    </row>
    <row r="35" spans="2:25" x14ac:dyDescent="0.2">
      <c r="B35">
        <v>1982</v>
      </c>
      <c r="C35">
        <v>0</v>
      </c>
      <c r="D35">
        <v>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5</v>
      </c>
      <c r="P35">
        <v>3</v>
      </c>
      <c r="Q35">
        <v>0</v>
      </c>
      <c r="R35">
        <v>0</v>
      </c>
      <c r="S35">
        <v>2</v>
      </c>
      <c r="T35">
        <v>5</v>
      </c>
      <c r="U35">
        <v>3</v>
      </c>
      <c r="V35">
        <v>2</v>
      </c>
      <c r="W35">
        <v>5</v>
      </c>
      <c r="X35">
        <v>3</v>
      </c>
      <c r="Y35">
        <v>4.0999999999999996</v>
      </c>
    </row>
    <row r="36" spans="2:25" x14ac:dyDescent="0.2">
      <c r="B36">
        <v>1983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6</v>
      </c>
      <c r="P36">
        <v>3</v>
      </c>
      <c r="Q36">
        <v>0</v>
      </c>
      <c r="R36">
        <v>0</v>
      </c>
      <c r="S36">
        <v>1</v>
      </c>
      <c r="T36">
        <v>6</v>
      </c>
      <c r="U36">
        <v>3</v>
      </c>
      <c r="V36">
        <v>1</v>
      </c>
      <c r="W36">
        <v>6</v>
      </c>
      <c r="X36">
        <v>3</v>
      </c>
      <c r="Y36">
        <v>4.2</v>
      </c>
    </row>
    <row r="37" spans="2:25" x14ac:dyDescent="0.2">
      <c r="B37">
        <v>1984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5</v>
      </c>
      <c r="P37">
        <v>3</v>
      </c>
      <c r="Q37">
        <v>0</v>
      </c>
      <c r="R37">
        <v>1</v>
      </c>
      <c r="S37">
        <v>1</v>
      </c>
      <c r="T37">
        <v>5</v>
      </c>
      <c r="U37">
        <v>3</v>
      </c>
      <c r="V37">
        <v>1</v>
      </c>
      <c r="W37">
        <v>5</v>
      </c>
      <c r="X37">
        <v>3</v>
      </c>
      <c r="Y37">
        <v>4</v>
      </c>
    </row>
    <row r="38" spans="2:25" x14ac:dyDescent="0.2">
      <c r="B38">
        <v>1985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2</v>
      </c>
      <c r="P38">
        <v>7</v>
      </c>
      <c r="Q38">
        <v>0</v>
      </c>
      <c r="R38">
        <v>0</v>
      </c>
      <c r="S38">
        <v>1</v>
      </c>
      <c r="T38">
        <v>2</v>
      </c>
      <c r="U38">
        <v>7</v>
      </c>
      <c r="V38">
        <v>1</v>
      </c>
      <c r="W38">
        <v>2</v>
      </c>
      <c r="X38">
        <v>7</v>
      </c>
      <c r="Y38">
        <v>4.4000000000000004</v>
      </c>
    </row>
    <row r="39" spans="2:25" x14ac:dyDescent="0.2">
      <c r="B39">
        <v>1986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4</v>
      </c>
      <c r="P39">
        <v>5</v>
      </c>
      <c r="Q39">
        <v>0</v>
      </c>
      <c r="R39">
        <v>0</v>
      </c>
      <c r="S39">
        <v>1</v>
      </c>
      <c r="T39">
        <v>4</v>
      </c>
      <c r="U39">
        <v>5</v>
      </c>
      <c r="V39">
        <v>1</v>
      </c>
      <c r="W39">
        <v>4</v>
      </c>
      <c r="X39">
        <v>5</v>
      </c>
      <c r="Y39">
        <v>4.4000000000000004</v>
      </c>
    </row>
    <row r="40" spans="2:25" x14ac:dyDescent="0.2">
      <c r="B40">
        <v>1987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7</v>
      </c>
      <c r="Q40">
        <v>0</v>
      </c>
      <c r="R40">
        <v>0</v>
      </c>
      <c r="S40">
        <v>0</v>
      </c>
      <c r="T40">
        <v>3</v>
      </c>
      <c r="U40">
        <v>7</v>
      </c>
      <c r="V40">
        <v>0</v>
      </c>
      <c r="W40">
        <v>3</v>
      </c>
      <c r="X40">
        <v>7</v>
      </c>
      <c r="Y40">
        <v>4.7</v>
      </c>
    </row>
    <row r="41" spans="2:25" x14ac:dyDescent="0.2">
      <c r="B41">
        <v>1988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5</v>
      </c>
      <c r="P41">
        <v>4</v>
      </c>
      <c r="Q41">
        <v>0</v>
      </c>
      <c r="R41">
        <v>0</v>
      </c>
      <c r="S41">
        <v>1</v>
      </c>
      <c r="T41">
        <v>5</v>
      </c>
      <c r="U41">
        <v>4</v>
      </c>
      <c r="V41">
        <v>1</v>
      </c>
      <c r="W41">
        <v>5</v>
      </c>
      <c r="X41">
        <v>4</v>
      </c>
      <c r="Y41">
        <v>4.3</v>
      </c>
    </row>
    <row r="42" spans="2:25" x14ac:dyDescent="0.2">
      <c r="B42">
        <v>1989</v>
      </c>
      <c r="C42">
        <v>0</v>
      </c>
      <c r="D42">
        <v>0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4</v>
      </c>
      <c r="P42">
        <v>3</v>
      </c>
      <c r="Q42">
        <v>0</v>
      </c>
      <c r="R42">
        <v>0</v>
      </c>
      <c r="S42">
        <v>2</v>
      </c>
      <c r="T42">
        <v>4</v>
      </c>
      <c r="U42">
        <v>3</v>
      </c>
      <c r="V42">
        <v>2</v>
      </c>
      <c r="W42">
        <v>4</v>
      </c>
      <c r="X42">
        <v>3</v>
      </c>
      <c r="Y42">
        <v>4.1100000000000003</v>
      </c>
    </row>
    <row r="43" spans="2:25" x14ac:dyDescent="0.2">
      <c r="B43">
        <v>1990</v>
      </c>
      <c r="C43">
        <v>0</v>
      </c>
      <c r="D43">
        <v>0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4</v>
      </c>
      <c r="P43">
        <v>4</v>
      </c>
      <c r="Q43">
        <v>0</v>
      </c>
      <c r="R43">
        <v>0</v>
      </c>
      <c r="S43">
        <v>2</v>
      </c>
      <c r="T43">
        <v>4</v>
      </c>
      <c r="U43">
        <v>4</v>
      </c>
      <c r="V43">
        <v>2</v>
      </c>
      <c r="W43">
        <v>4</v>
      </c>
      <c r="X43">
        <v>4</v>
      </c>
      <c r="Y43">
        <v>4.2</v>
      </c>
    </row>
    <row r="44" spans="2:25" x14ac:dyDescent="0.2">
      <c r="B44">
        <v>1991</v>
      </c>
      <c r="C44">
        <v>0</v>
      </c>
      <c r="D44">
        <v>0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6</v>
      </c>
      <c r="P44">
        <v>2</v>
      </c>
      <c r="Q44">
        <v>0</v>
      </c>
      <c r="R44">
        <v>0</v>
      </c>
      <c r="S44">
        <v>2</v>
      </c>
      <c r="T44">
        <v>6</v>
      </c>
      <c r="U44">
        <v>2</v>
      </c>
      <c r="V44">
        <v>2</v>
      </c>
      <c r="W44">
        <v>6</v>
      </c>
      <c r="X44">
        <v>2</v>
      </c>
      <c r="Y44">
        <v>4</v>
      </c>
    </row>
    <row r="45" spans="2:25" x14ac:dyDescent="0.2">
      <c r="B45">
        <v>1992</v>
      </c>
      <c r="C45">
        <v>0</v>
      </c>
      <c r="D45">
        <v>0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5</v>
      </c>
      <c r="P45">
        <v>3</v>
      </c>
      <c r="Q45">
        <v>0</v>
      </c>
      <c r="R45">
        <v>0</v>
      </c>
      <c r="S45">
        <v>2</v>
      </c>
      <c r="T45">
        <v>5</v>
      </c>
      <c r="U45">
        <v>3</v>
      </c>
      <c r="V45">
        <v>2</v>
      </c>
      <c r="W45">
        <v>5</v>
      </c>
      <c r="X45">
        <v>3</v>
      </c>
      <c r="Y45">
        <v>4.0999999999999996</v>
      </c>
    </row>
    <row r="46" spans="2:25" x14ac:dyDescent="0.2">
      <c r="B46">
        <v>1993</v>
      </c>
      <c r="C46">
        <v>0</v>
      </c>
      <c r="D46">
        <v>0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5</v>
      </c>
      <c r="P46">
        <v>3</v>
      </c>
      <c r="Q46">
        <v>0</v>
      </c>
      <c r="R46">
        <v>0</v>
      </c>
      <c r="S46">
        <v>2</v>
      </c>
      <c r="T46">
        <v>5</v>
      </c>
      <c r="U46">
        <v>3</v>
      </c>
      <c r="V46">
        <v>2</v>
      </c>
      <c r="W46">
        <v>5</v>
      </c>
      <c r="X46">
        <v>3</v>
      </c>
      <c r="Y46">
        <v>4.0999999999999996</v>
      </c>
    </row>
    <row r="47" spans="2:25" x14ac:dyDescent="0.2">
      <c r="B47">
        <v>1994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6</v>
      </c>
      <c r="P47">
        <v>3</v>
      </c>
      <c r="Q47">
        <v>0</v>
      </c>
      <c r="R47">
        <v>0</v>
      </c>
      <c r="S47">
        <v>1</v>
      </c>
      <c r="T47">
        <v>6</v>
      </c>
      <c r="U47">
        <v>3</v>
      </c>
      <c r="V47">
        <v>1</v>
      </c>
      <c r="W47">
        <v>6</v>
      </c>
      <c r="X47">
        <v>3</v>
      </c>
      <c r="Y47">
        <v>4.2</v>
      </c>
    </row>
    <row r="48" spans="2:25" x14ac:dyDescent="0.2">
      <c r="B48">
        <v>1995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5</v>
      </c>
      <c r="P48">
        <v>3</v>
      </c>
      <c r="Q48">
        <v>0</v>
      </c>
      <c r="R48">
        <v>1</v>
      </c>
      <c r="S48">
        <v>1</v>
      </c>
      <c r="T48">
        <v>5</v>
      </c>
      <c r="U48">
        <v>3</v>
      </c>
      <c r="V48">
        <v>1</v>
      </c>
      <c r="W48">
        <v>5</v>
      </c>
      <c r="X48">
        <v>3</v>
      </c>
      <c r="Y48">
        <v>4</v>
      </c>
    </row>
    <row r="49" spans="2:25" x14ac:dyDescent="0.2">
      <c r="B49">
        <v>1996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2</v>
      </c>
      <c r="P49">
        <v>7</v>
      </c>
      <c r="Q49">
        <v>0</v>
      </c>
      <c r="R49">
        <v>0</v>
      </c>
      <c r="S49">
        <v>1</v>
      </c>
      <c r="T49">
        <v>2</v>
      </c>
      <c r="U49">
        <v>7</v>
      </c>
      <c r="V49">
        <v>1</v>
      </c>
      <c r="W49">
        <v>2</v>
      </c>
      <c r="X49">
        <v>7</v>
      </c>
      <c r="Y49">
        <v>4.4000000000000004</v>
      </c>
    </row>
    <row r="50" spans="2:25" x14ac:dyDescent="0.2">
      <c r="B50">
        <v>1997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4</v>
      </c>
      <c r="P50">
        <v>5</v>
      </c>
      <c r="Q50">
        <v>0</v>
      </c>
      <c r="R50">
        <v>0</v>
      </c>
      <c r="S50">
        <v>1</v>
      </c>
      <c r="T50">
        <v>4</v>
      </c>
      <c r="U50">
        <v>5</v>
      </c>
      <c r="V50">
        <v>1</v>
      </c>
      <c r="W50">
        <v>4</v>
      </c>
      <c r="X50">
        <v>5</v>
      </c>
      <c r="Y50">
        <v>4.4000000000000004</v>
      </c>
    </row>
    <row r="51" spans="2:25" x14ac:dyDescent="0.2">
      <c r="B51">
        <v>1998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7</v>
      </c>
      <c r="Q51">
        <v>0</v>
      </c>
      <c r="R51">
        <v>0</v>
      </c>
      <c r="S51">
        <v>0</v>
      </c>
      <c r="T51">
        <v>3</v>
      </c>
      <c r="U51">
        <v>7</v>
      </c>
      <c r="V51">
        <v>0</v>
      </c>
      <c r="W51">
        <v>3</v>
      </c>
      <c r="X51">
        <v>7</v>
      </c>
      <c r="Y51">
        <v>4.7</v>
      </c>
    </row>
    <row r="52" spans="2:25" x14ac:dyDescent="0.2">
      <c r="B52">
        <v>1999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5</v>
      </c>
      <c r="P52">
        <v>4</v>
      </c>
      <c r="Q52">
        <v>0</v>
      </c>
      <c r="R52">
        <v>0</v>
      </c>
      <c r="S52">
        <v>1</v>
      </c>
      <c r="T52">
        <v>5</v>
      </c>
      <c r="U52">
        <v>4</v>
      </c>
      <c r="V52">
        <v>1</v>
      </c>
      <c r="W52">
        <v>5</v>
      </c>
      <c r="X52">
        <v>4</v>
      </c>
      <c r="Y52">
        <v>4.3</v>
      </c>
    </row>
    <row r="53" spans="2:25" x14ac:dyDescent="0.2">
      <c r="B53">
        <v>2000</v>
      </c>
      <c r="C53">
        <v>0</v>
      </c>
      <c r="D53">
        <v>0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4</v>
      </c>
      <c r="P53">
        <v>3</v>
      </c>
      <c r="Q53">
        <v>0</v>
      </c>
      <c r="R53">
        <v>0</v>
      </c>
      <c r="S53">
        <v>2</v>
      </c>
      <c r="T53">
        <v>4</v>
      </c>
      <c r="U53">
        <v>3</v>
      </c>
      <c r="V53">
        <v>2</v>
      </c>
      <c r="W53">
        <v>4</v>
      </c>
      <c r="X53">
        <v>3</v>
      </c>
      <c r="Y53">
        <v>4.1100000000000003</v>
      </c>
    </row>
    <row r="54" spans="2:25" x14ac:dyDescent="0.2">
      <c r="B54">
        <v>2001</v>
      </c>
      <c r="C54">
        <v>0</v>
      </c>
      <c r="D54">
        <v>0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4</v>
      </c>
      <c r="P54">
        <v>4</v>
      </c>
      <c r="Q54">
        <v>0</v>
      </c>
      <c r="R54">
        <v>0</v>
      </c>
      <c r="S54">
        <v>2</v>
      </c>
      <c r="T54">
        <v>4</v>
      </c>
      <c r="U54">
        <v>4</v>
      </c>
      <c r="V54">
        <v>2</v>
      </c>
      <c r="W54">
        <v>4</v>
      </c>
      <c r="X54">
        <v>4</v>
      </c>
      <c r="Y54">
        <v>4.2</v>
      </c>
    </row>
    <row r="55" spans="2:25" x14ac:dyDescent="0.2">
      <c r="B55">
        <v>2002</v>
      </c>
      <c r="C55">
        <v>0</v>
      </c>
      <c r="D55">
        <v>0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6</v>
      </c>
      <c r="P55">
        <v>2</v>
      </c>
      <c r="Q55">
        <v>0</v>
      </c>
      <c r="R55">
        <v>0</v>
      </c>
      <c r="S55">
        <v>2</v>
      </c>
      <c r="T55">
        <v>6</v>
      </c>
      <c r="U55">
        <v>2</v>
      </c>
      <c r="V55">
        <v>2</v>
      </c>
      <c r="W55">
        <v>6</v>
      </c>
      <c r="X55">
        <v>2</v>
      </c>
      <c r="Y55">
        <v>4</v>
      </c>
    </row>
    <row r="56" spans="2:25" x14ac:dyDescent="0.2">
      <c r="B56">
        <v>2003</v>
      </c>
      <c r="C56">
        <v>0</v>
      </c>
      <c r="D56">
        <v>0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5</v>
      </c>
      <c r="P56">
        <v>3</v>
      </c>
      <c r="Q56">
        <v>0</v>
      </c>
      <c r="R56">
        <v>0</v>
      </c>
      <c r="S56">
        <v>2</v>
      </c>
      <c r="T56">
        <v>5</v>
      </c>
      <c r="U56">
        <v>3</v>
      </c>
      <c r="V56">
        <v>2</v>
      </c>
      <c r="W56">
        <v>5</v>
      </c>
      <c r="X56">
        <v>3</v>
      </c>
      <c r="Y56">
        <v>4.0999999999999996</v>
      </c>
    </row>
    <row r="57" spans="2:25" x14ac:dyDescent="0.2">
      <c r="B57">
        <v>2004</v>
      </c>
      <c r="C57">
        <v>0</v>
      </c>
      <c r="D57">
        <v>0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5</v>
      </c>
      <c r="P57">
        <v>3</v>
      </c>
      <c r="Q57">
        <v>0</v>
      </c>
      <c r="R57">
        <v>0</v>
      </c>
      <c r="S57">
        <v>2</v>
      </c>
      <c r="T57">
        <v>5</v>
      </c>
      <c r="U57">
        <v>3</v>
      </c>
      <c r="V57">
        <v>2</v>
      </c>
      <c r="W57">
        <v>5</v>
      </c>
      <c r="X57">
        <v>3</v>
      </c>
      <c r="Y57">
        <v>4.0999999999999996</v>
      </c>
    </row>
    <row r="58" spans="2:25" x14ac:dyDescent="0.2">
      <c r="B58">
        <v>2005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6</v>
      </c>
      <c r="P58">
        <v>3</v>
      </c>
      <c r="Q58">
        <v>0</v>
      </c>
      <c r="R58">
        <v>0</v>
      </c>
      <c r="S58">
        <v>1</v>
      </c>
      <c r="T58">
        <v>6</v>
      </c>
      <c r="U58">
        <v>3</v>
      </c>
      <c r="V58">
        <v>1</v>
      </c>
      <c r="W58">
        <v>6</v>
      </c>
      <c r="X58">
        <v>3</v>
      </c>
      <c r="Y58">
        <v>4.2</v>
      </c>
    </row>
    <row r="59" spans="2:25" x14ac:dyDescent="0.2">
      <c r="B59">
        <v>2006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5</v>
      </c>
      <c r="P59">
        <v>3</v>
      </c>
      <c r="Q59">
        <v>0</v>
      </c>
      <c r="R59">
        <v>1</v>
      </c>
      <c r="S59">
        <v>1</v>
      </c>
      <c r="T59">
        <v>5</v>
      </c>
      <c r="U59">
        <v>3</v>
      </c>
      <c r="V59">
        <v>1</v>
      </c>
      <c r="W59">
        <v>5</v>
      </c>
      <c r="X59">
        <v>3</v>
      </c>
      <c r="Y59">
        <v>4</v>
      </c>
    </row>
    <row r="60" spans="2:25" x14ac:dyDescent="0.2">
      <c r="B60">
        <v>2007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2</v>
      </c>
      <c r="P60">
        <v>7</v>
      </c>
      <c r="Q60">
        <v>0</v>
      </c>
      <c r="R60">
        <v>0</v>
      </c>
      <c r="S60">
        <v>1</v>
      </c>
      <c r="T60">
        <v>2</v>
      </c>
      <c r="U60">
        <v>7</v>
      </c>
      <c r="V60">
        <v>1</v>
      </c>
      <c r="W60">
        <v>2</v>
      </c>
      <c r="X60">
        <v>7</v>
      </c>
      <c r="Y60">
        <v>4.4000000000000004</v>
      </c>
    </row>
    <row r="61" spans="2:25" x14ac:dyDescent="0.2">
      <c r="B61">
        <v>2008</v>
      </c>
      <c r="C61">
        <v>0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4</v>
      </c>
      <c r="P61">
        <v>5</v>
      </c>
      <c r="Q61">
        <v>0</v>
      </c>
      <c r="R61">
        <v>0</v>
      </c>
      <c r="S61">
        <v>1</v>
      </c>
      <c r="T61">
        <v>4</v>
      </c>
      <c r="U61">
        <v>5</v>
      </c>
      <c r="V61">
        <v>1</v>
      </c>
      <c r="W61">
        <v>4</v>
      </c>
      <c r="X61">
        <v>5</v>
      </c>
      <c r="Y61">
        <v>4.4000000000000004</v>
      </c>
    </row>
    <row r="62" spans="2:25" x14ac:dyDescent="0.2">
      <c r="B62">
        <v>2009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</v>
      </c>
      <c r="P62">
        <v>7</v>
      </c>
      <c r="Q62">
        <v>0</v>
      </c>
      <c r="R62">
        <v>0</v>
      </c>
      <c r="S62">
        <v>0</v>
      </c>
      <c r="T62">
        <v>3</v>
      </c>
      <c r="U62">
        <v>7</v>
      </c>
      <c r="V62">
        <v>0</v>
      </c>
      <c r="W62">
        <v>3</v>
      </c>
      <c r="X62">
        <v>7</v>
      </c>
      <c r="Y62">
        <v>4.7</v>
      </c>
    </row>
    <row r="63" spans="2:25" x14ac:dyDescent="0.2">
      <c r="B63">
        <v>2010</v>
      </c>
      <c r="C63">
        <v>0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5</v>
      </c>
      <c r="P63">
        <v>4</v>
      </c>
      <c r="Q63">
        <v>0</v>
      </c>
      <c r="R63">
        <v>0</v>
      </c>
      <c r="S63">
        <v>1</v>
      </c>
      <c r="T63">
        <v>5</v>
      </c>
      <c r="U63">
        <v>4</v>
      </c>
      <c r="V63">
        <v>1</v>
      </c>
      <c r="W63">
        <v>5</v>
      </c>
      <c r="X63">
        <v>4</v>
      </c>
      <c r="Y63">
        <v>4.3</v>
      </c>
    </row>
    <row r="64" spans="2:25" x14ac:dyDescent="0.2">
      <c r="B64">
        <v>2011</v>
      </c>
      <c r="C64">
        <v>0</v>
      </c>
      <c r="D64">
        <v>0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4</v>
      </c>
      <c r="P64">
        <v>3</v>
      </c>
      <c r="Q64">
        <v>0</v>
      </c>
      <c r="R64">
        <v>0</v>
      </c>
      <c r="S64">
        <v>2</v>
      </c>
      <c r="T64">
        <v>4</v>
      </c>
      <c r="U64">
        <v>3</v>
      </c>
      <c r="V64">
        <v>2</v>
      </c>
      <c r="W64">
        <v>4</v>
      </c>
      <c r="X64">
        <v>3</v>
      </c>
      <c r="Y64">
        <v>4.1100000000000003</v>
      </c>
    </row>
    <row r="65" spans="2:25" x14ac:dyDescent="0.2">
      <c r="B65">
        <v>2012</v>
      </c>
      <c r="C65">
        <v>0</v>
      </c>
      <c r="D65">
        <v>0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4</v>
      </c>
      <c r="P65">
        <v>4</v>
      </c>
      <c r="Q65">
        <v>0</v>
      </c>
      <c r="R65">
        <v>0</v>
      </c>
      <c r="S65">
        <v>2</v>
      </c>
      <c r="T65">
        <v>4</v>
      </c>
      <c r="U65">
        <v>4</v>
      </c>
      <c r="V65">
        <v>2</v>
      </c>
      <c r="W65">
        <v>4</v>
      </c>
      <c r="X65">
        <v>4</v>
      </c>
      <c r="Y65">
        <v>4.2</v>
      </c>
    </row>
    <row r="66" spans="2:25" x14ac:dyDescent="0.2">
      <c r="B66">
        <v>2013</v>
      </c>
      <c r="C66">
        <v>0</v>
      </c>
      <c r="D66">
        <v>0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6</v>
      </c>
      <c r="P66">
        <v>2</v>
      </c>
      <c r="Q66">
        <v>0</v>
      </c>
      <c r="R66">
        <v>0</v>
      </c>
      <c r="S66">
        <v>2</v>
      </c>
      <c r="T66">
        <v>6</v>
      </c>
      <c r="U66">
        <v>2</v>
      </c>
      <c r="V66">
        <v>2</v>
      </c>
      <c r="W66">
        <v>6</v>
      </c>
      <c r="X66">
        <v>2</v>
      </c>
      <c r="Y66">
        <v>4</v>
      </c>
    </row>
    <row r="67" spans="2:25" x14ac:dyDescent="0.2">
      <c r="B67">
        <v>2014</v>
      </c>
      <c r="C67">
        <v>0</v>
      </c>
      <c r="D67">
        <v>0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5</v>
      </c>
      <c r="P67">
        <v>3</v>
      </c>
      <c r="Q67">
        <v>0</v>
      </c>
      <c r="R67">
        <v>0</v>
      </c>
      <c r="S67">
        <v>2</v>
      </c>
      <c r="T67">
        <v>5</v>
      </c>
      <c r="U67">
        <v>3</v>
      </c>
      <c r="V67">
        <v>2</v>
      </c>
      <c r="W67">
        <v>5</v>
      </c>
      <c r="X67">
        <v>3</v>
      </c>
      <c r="Y67">
        <v>4.0999999999999996</v>
      </c>
    </row>
    <row r="68" spans="2:25" x14ac:dyDescent="0.2">
      <c r="B68">
        <v>2015</v>
      </c>
      <c r="C68">
        <v>0</v>
      </c>
      <c r="D68">
        <v>0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5</v>
      </c>
      <c r="P68">
        <v>3</v>
      </c>
      <c r="Q68">
        <v>0</v>
      </c>
      <c r="R68">
        <v>0</v>
      </c>
      <c r="S68">
        <v>2</v>
      </c>
      <c r="T68">
        <v>5</v>
      </c>
      <c r="U68">
        <v>3</v>
      </c>
      <c r="V68">
        <v>2</v>
      </c>
      <c r="W68">
        <v>5</v>
      </c>
      <c r="X68">
        <v>3</v>
      </c>
      <c r="Y68">
        <v>4.0999999999999996</v>
      </c>
    </row>
  </sheetData>
  <mergeCells count="3">
    <mergeCell ref="A1:B1"/>
    <mergeCell ref="C1:Y1"/>
    <mergeCell ref="A3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4F9A-8C7F-D34C-A88B-41E4FFE97FF0}">
  <dimension ref="A1:J49"/>
  <sheetViews>
    <sheetView workbookViewId="0"/>
  </sheetViews>
  <sheetFormatPr baseColWidth="10" defaultColWidth="11" defaultRowHeight="16" x14ac:dyDescent="0.2"/>
  <cols>
    <col min="2" max="2" width="12.83203125" customWidth="1"/>
    <col min="3" max="3" width="19.1640625" customWidth="1"/>
  </cols>
  <sheetData>
    <row r="1" spans="1:10" ht="28" x14ac:dyDescent="0.4">
      <c r="A1" s="1" t="s">
        <v>1755</v>
      </c>
    </row>
    <row r="4" spans="1:10" x14ac:dyDescent="0.2">
      <c r="A4" s="3" t="s">
        <v>1745</v>
      </c>
      <c r="B4" s="3" t="s">
        <v>1750</v>
      </c>
      <c r="H4" s="3"/>
      <c r="I4" s="3"/>
    </row>
    <row r="5" spans="1:10" x14ac:dyDescent="0.2">
      <c r="A5" t="s">
        <v>1749</v>
      </c>
      <c r="B5" s="5">
        <v>0.03</v>
      </c>
      <c r="I5" s="5"/>
    </row>
    <row r="6" spans="1:10" x14ac:dyDescent="0.2">
      <c r="A6" t="s">
        <v>1747</v>
      </c>
      <c r="B6" s="5">
        <v>0.04</v>
      </c>
      <c r="F6" t="str">
        <f ca="1">_xlfn.FORMULATEXT(F11)</f>
        <v>=XLOOKUP([@State],Table1[State],Table1[Commission])</v>
      </c>
      <c r="I6" s="5"/>
    </row>
    <row r="7" spans="1:10" x14ac:dyDescent="0.2">
      <c r="A7" t="s">
        <v>1748</v>
      </c>
      <c r="B7" s="5">
        <v>0</v>
      </c>
      <c r="E7" t="str">
        <f ca="1">_xlfn.FORMULATEXT(E11)</f>
        <v>=INDEX(Table1[Commission],[@Match])</v>
      </c>
      <c r="I7" s="5"/>
    </row>
    <row r="8" spans="1:10" x14ac:dyDescent="0.2">
      <c r="A8" t="s">
        <v>1746</v>
      </c>
      <c r="B8" s="5">
        <v>0.1</v>
      </c>
      <c r="D8" t="str">
        <f ca="1">_xlfn.FORMULATEXT(D11)</f>
        <v>=MATCH([@State],Table1[State],0)</v>
      </c>
      <c r="I8" s="5"/>
    </row>
    <row r="9" spans="1:10" ht="21" x14ac:dyDescent="0.25">
      <c r="C9" t="str">
        <f ca="1">_xlfn.FORMULATEXT(C11)</f>
        <v>=VLOOKUP([@State],Table1,2, FALSE)</v>
      </c>
      <c r="D9" s="7"/>
      <c r="E9" s="7"/>
      <c r="F9" s="7"/>
    </row>
    <row r="10" spans="1:10" x14ac:dyDescent="0.2">
      <c r="A10" s="3" t="s">
        <v>1744</v>
      </c>
      <c r="B10" s="3" t="s">
        <v>1745</v>
      </c>
      <c r="C10" s="13" t="s">
        <v>1751</v>
      </c>
      <c r="D10" s="13" t="s">
        <v>1754</v>
      </c>
      <c r="E10" s="13" t="s">
        <v>1753</v>
      </c>
      <c r="F10" s="13" t="s">
        <v>1752</v>
      </c>
      <c r="H10" s="3"/>
      <c r="I10" s="3"/>
      <c r="J10" s="3"/>
    </row>
    <row r="11" spans="1:10" x14ac:dyDescent="0.2">
      <c r="A11">
        <v>12</v>
      </c>
      <c r="B11" t="s">
        <v>1868</v>
      </c>
      <c r="C11" s="14" t="e">
        <f>VLOOKUP(Table2[[#This Row],[State]],Table1[],2, FALSE)</f>
        <v>#N/A</v>
      </c>
      <c r="D11" s="15" t="e">
        <f>MATCH(Table2[[#This Row],[State]],Table1[State],0)</f>
        <v>#N/A</v>
      </c>
      <c r="E11" s="14" t="e" cm="1">
        <f t="array" ref="E11">INDEX(Table1[Commission],Table2[[#This Row],[Match]])</f>
        <v>#N/A</v>
      </c>
      <c r="F11" s="14" t="e">
        <f>_xlfn.XLOOKUP(Table2[[#This Row],[State]],Table1[State],Table1[Commission])</f>
        <v>#N/A</v>
      </c>
    </row>
    <row r="12" spans="1:10" x14ac:dyDescent="0.2">
      <c r="A12">
        <v>11</v>
      </c>
      <c r="B12" t="s">
        <v>1747</v>
      </c>
      <c r="C12" s="14">
        <f>VLOOKUP(Table2[[#This Row],[State]],Table1[],2, FALSE)</f>
        <v>0.04</v>
      </c>
      <c r="D12" s="15">
        <f>MATCH(Table2[[#This Row],[State]],Table1[State],0)</f>
        <v>2</v>
      </c>
      <c r="E12" s="14" cm="1">
        <f t="array" ref="E12">INDEX(Table1[Commission],Table2[[#This Row],[Match]])</f>
        <v>0.04</v>
      </c>
      <c r="F12" s="14">
        <f>_xlfn.XLOOKUP(Table2[[#This Row],[State]],Table1[State],Table1[Commission])</f>
        <v>0.04</v>
      </c>
    </row>
    <row r="13" spans="1:10" x14ac:dyDescent="0.2">
      <c r="A13">
        <v>11</v>
      </c>
      <c r="B13" t="s">
        <v>1749</v>
      </c>
      <c r="C13" s="14">
        <f>VLOOKUP(Table2[[#This Row],[State]],Table1[],2, FALSE)</f>
        <v>0.03</v>
      </c>
      <c r="D13" s="15">
        <f>MATCH(Table2[[#This Row],[State]],Table1[State],0)</f>
        <v>1</v>
      </c>
      <c r="E13" s="14" cm="1">
        <f t="array" ref="E13">INDEX(Table1[Commission],Table2[[#This Row],[Match]])</f>
        <v>0.03</v>
      </c>
      <c r="F13" s="14">
        <f>_xlfn.XLOOKUP(Table2[[#This Row],[State]],Table1[State],Table1[Commission])</f>
        <v>0.03</v>
      </c>
    </row>
    <row r="14" spans="1:10" x14ac:dyDescent="0.2">
      <c r="A14">
        <v>19</v>
      </c>
      <c r="B14" t="s">
        <v>1746</v>
      </c>
      <c r="C14" s="14">
        <f>VLOOKUP(Table2[[#This Row],[State]],Table1[],2, FALSE)</f>
        <v>0.1</v>
      </c>
      <c r="D14" s="15">
        <f>MATCH(Table2[[#This Row],[State]],Table1[State],0)</f>
        <v>4</v>
      </c>
      <c r="E14" s="14" cm="1">
        <f t="array" ref="E14">INDEX(Table1[Commission],Table2[[#This Row],[Match]])</f>
        <v>0.1</v>
      </c>
      <c r="F14" s="14">
        <f>_xlfn.XLOOKUP(Table2[[#This Row],[State]],Table1[State],Table1[Commission])</f>
        <v>0.1</v>
      </c>
    </row>
    <row r="15" spans="1:10" x14ac:dyDescent="0.2">
      <c r="A15">
        <v>16</v>
      </c>
      <c r="B15" t="s">
        <v>1747</v>
      </c>
      <c r="C15" s="14">
        <f>VLOOKUP(Table2[[#This Row],[State]],Table1[],2, FALSE)</f>
        <v>0.04</v>
      </c>
      <c r="D15" s="15">
        <f>MATCH(Table2[[#This Row],[State]],Table1[State],0)</f>
        <v>2</v>
      </c>
      <c r="E15" s="14" cm="1">
        <f t="array" ref="E15">INDEX(Table1[Commission],Table2[[#This Row],[Match]])</f>
        <v>0.04</v>
      </c>
      <c r="F15" s="14">
        <f>_xlfn.XLOOKUP(Table2[[#This Row],[State]],Table1[State],Table1[Commission])</f>
        <v>0.04</v>
      </c>
    </row>
    <row r="16" spans="1:10" x14ac:dyDescent="0.2">
      <c r="A16">
        <v>19</v>
      </c>
      <c r="B16" t="s">
        <v>1747</v>
      </c>
      <c r="C16" s="14">
        <f>VLOOKUP(Table2[[#This Row],[State]],Table1[],2, FALSE)</f>
        <v>0.04</v>
      </c>
      <c r="D16" s="15">
        <f>MATCH(Table2[[#This Row],[State]],Table1[State],0)</f>
        <v>2</v>
      </c>
      <c r="E16" s="14" cm="1">
        <f t="array" ref="E16">INDEX(Table1[Commission],Table2[[#This Row],[Match]])</f>
        <v>0.04</v>
      </c>
      <c r="F16" s="14">
        <f>_xlfn.XLOOKUP(Table2[[#This Row],[State]],Table1[State],Table1[Commission])</f>
        <v>0.04</v>
      </c>
    </row>
    <row r="17" spans="1:8" x14ac:dyDescent="0.2">
      <c r="A17">
        <v>16</v>
      </c>
      <c r="B17" t="s">
        <v>1747</v>
      </c>
      <c r="C17" s="14">
        <f>VLOOKUP(Table2[[#This Row],[State]],Table1[],2, FALSE)</f>
        <v>0.04</v>
      </c>
      <c r="D17" s="15">
        <f>MATCH(Table2[[#This Row],[State]],Table1[State],0)</f>
        <v>2</v>
      </c>
      <c r="E17" s="14" cm="1">
        <f t="array" ref="E17">INDEX(Table1[Commission],Table2[[#This Row],[Match]])</f>
        <v>0.04</v>
      </c>
      <c r="F17" s="14">
        <f>_xlfn.XLOOKUP(Table2[[#This Row],[State]],Table1[State],Table1[Commission])</f>
        <v>0.04</v>
      </c>
    </row>
    <row r="18" spans="1:8" x14ac:dyDescent="0.2">
      <c r="A18">
        <v>11</v>
      </c>
      <c r="B18" t="s">
        <v>1748</v>
      </c>
      <c r="C18" s="14">
        <f>VLOOKUP(Table2[[#This Row],[State]],Table1[],2, FALSE)</f>
        <v>0</v>
      </c>
      <c r="D18" s="15">
        <f>MATCH(Table2[[#This Row],[State]],Table1[State],0)</f>
        <v>3</v>
      </c>
      <c r="E18" s="14" cm="1">
        <f t="array" ref="E18">INDEX(Table1[Commission],Table2[[#This Row],[Match]])</f>
        <v>0</v>
      </c>
      <c r="F18" s="14">
        <f>_xlfn.XLOOKUP(Table2[[#This Row],[State]],Table1[State],Table1[Commission])</f>
        <v>0</v>
      </c>
    </row>
    <row r="19" spans="1:8" x14ac:dyDescent="0.2">
      <c r="A19">
        <v>16</v>
      </c>
      <c r="B19" t="s">
        <v>1748</v>
      </c>
      <c r="C19" s="14">
        <f>VLOOKUP(Table2[[#This Row],[State]],Table1[],2, FALSE)</f>
        <v>0</v>
      </c>
      <c r="D19" s="15">
        <f>MATCH(Table2[[#This Row],[State]],Table1[State],0)</f>
        <v>3</v>
      </c>
      <c r="E19" s="14" cm="1">
        <f t="array" ref="E19">INDEX(Table1[Commission],Table2[[#This Row],[Match]])</f>
        <v>0</v>
      </c>
      <c r="F19" s="14">
        <f>_xlfn.XLOOKUP(Table2[[#This Row],[State]],Table1[State],Table1[Commission])</f>
        <v>0</v>
      </c>
    </row>
    <row r="20" spans="1:8" x14ac:dyDescent="0.2">
      <c r="A20">
        <v>12</v>
      </c>
      <c r="B20" t="s">
        <v>1748</v>
      </c>
      <c r="C20" s="14">
        <f>VLOOKUP(Table2[[#This Row],[State]],Table1[],2, FALSE)</f>
        <v>0</v>
      </c>
      <c r="D20" s="15">
        <f>MATCH(Table2[[#This Row],[State]],Table1[State],0)</f>
        <v>3</v>
      </c>
      <c r="E20" s="14" cm="1">
        <f t="array" ref="E20">INDEX(Table1[Commission],Table2[[#This Row],[Match]])</f>
        <v>0</v>
      </c>
      <c r="F20" s="14">
        <f>_xlfn.XLOOKUP(Table2[[#This Row],[State]],Table1[State],Table1[Commission])</f>
        <v>0</v>
      </c>
    </row>
    <row r="21" spans="1:8" x14ac:dyDescent="0.2">
      <c r="A21">
        <v>16</v>
      </c>
      <c r="B21" t="s">
        <v>1749</v>
      </c>
      <c r="C21" s="14">
        <f>VLOOKUP(Table2[[#This Row],[State]],Table1[],2, FALSE)</f>
        <v>0.03</v>
      </c>
      <c r="D21" s="15">
        <f>MATCH(Table2[[#This Row],[State]],Table1[State],0)</f>
        <v>1</v>
      </c>
      <c r="E21" s="14" cm="1">
        <f t="array" ref="E21">INDEX(Table1[Commission],Table2[[#This Row],[Match]])</f>
        <v>0.03</v>
      </c>
      <c r="F21" s="14">
        <f>_xlfn.XLOOKUP(Table2[[#This Row],[State]],Table1[State],Table1[Commission])</f>
        <v>0.03</v>
      </c>
    </row>
    <row r="22" spans="1:8" x14ac:dyDescent="0.2">
      <c r="A22">
        <v>17</v>
      </c>
      <c r="B22" t="s">
        <v>1749</v>
      </c>
      <c r="C22" s="14">
        <f>VLOOKUP(Table2[[#This Row],[State]],Table1[],2, FALSE)</f>
        <v>0.03</v>
      </c>
      <c r="D22" s="15">
        <f>MATCH(Table2[[#This Row],[State]],Table1[State],0)</f>
        <v>1</v>
      </c>
      <c r="E22" s="14" cm="1">
        <f t="array" ref="E22">INDEX(Table1[Commission],Table2[[#This Row],[Match]])</f>
        <v>0.03</v>
      </c>
      <c r="F22" s="14">
        <f>_xlfn.XLOOKUP(Table2[[#This Row],[State]],Table1[State],Table1[Commission])</f>
        <v>0.03</v>
      </c>
    </row>
    <row r="28" spans="1:8" x14ac:dyDescent="0.2">
      <c r="A28" s="3" t="s">
        <v>1782</v>
      </c>
    </row>
    <row r="30" spans="1:8" x14ac:dyDescent="0.2">
      <c r="A30" t="s">
        <v>1762</v>
      </c>
      <c r="B30" t="s">
        <v>1768</v>
      </c>
      <c r="C30" t="s">
        <v>1776</v>
      </c>
      <c r="G30" t="s">
        <v>1769</v>
      </c>
      <c r="H30" t="s">
        <v>1770</v>
      </c>
    </row>
    <row r="31" spans="1:8" x14ac:dyDescent="0.2">
      <c r="A31" t="s">
        <v>1763</v>
      </c>
      <c r="B31" s="6">
        <v>1</v>
      </c>
      <c r="C31" t="str">
        <f>VLOOKUP(B31, $G$31:$H$37, 2, TRUE)</f>
        <v>A+</v>
      </c>
      <c r="G31" s="5">
        <v>0</v>
      </c>
      <c r="H31" t="s">
        <v>1775</v>
      </c>
    </row>
    <row r="32" spans="1:8" x14ac:dyDescent="0.2">
      <c r="A32" t="s">
        <v>1764</v>
      </c>
      <c r="B32" s="6">
        <f>B31-0.02</f>
        <v>0.98</v>
      </c>
      <c r="C32" t="str">
        <f t="shared" ref="C32:C49" si="0">VLOOKUP(B32, $G$31:$H$37, 2, TRUE)</f>
        <v>A</v>
      </c>
      <c r="G32" s="5">
        <v>0.6</v>
      </c>
      <c r="H32" t="s">
        <v>1774</v>
      </c>
    </row>
    <row r="33" spans="1:8" x14ac:dyDescent="0.2">
      <c r="A33" t="s">
        <v>1765</v>
      </c>
      <c r="B33" s="6">
        <f t="shared" ref="B33:B45" si="1">B32-0.02</f>
        <v>0.96</v>
      </c>
      <c r="C33" t="str">
        <f t="shared" si="0"/>
        <v>A</v>
      </c>
      <c r="G33" s="5">
        <v>0.7</v>
      </c>
      <c r="H33" t="s">
        <v>1773</v>
      </c>
    </row>
    <row r="34" spans="1:8" x14ac:dyDescent="0.2">
      <c r="A34" t="s">
        <v>1766</v>
      </c>
      <c r="B34" s="6">
        <f t="shared" si="1"/>
        <v>0.94</v>
      </c>
      <c r="C34" t="str">
        <f t="shared" si="0"/>
        <v>A</v>
      </c>
      <c r="G34" s="5">
        <v>0.8</v>
      </c>
      <c r="H34" t="s">
        <v>1772</v>
      </c>
    </row>
    <row r="35" spans="1:8" x14ac:dyDescent="0.2">
      <c r="A35" t="s">
        <v>1767</v>
      </c>
      <c r="B35" s="6">
        <f t="shared" si="1"/>
        <v>0.91999999999999993</v>
      </c>
      <c r="C35" t="str">
        <f t="shared" si="0"/>
        <v>A</v>
      </c>
      <c r="G35" s="5">
        <v>0.9</v>
      </c>
      <c r="H35" t="s">
        <v>1771</v>
      </c>
    </row>
    <row r="36" spans="1:8" x14ac:dyDescent="0.2">
      <c r="A36" t="s">
        <v>1763</v>
      </c>
      <c r="B36" s="6">
        <f t="shared" si="1"/>
        <v>0.89999999999999991</v>
      </c>
      <c r="C36" t="str">
        <f t="shared" si="0"/>
        <v>B</v>
      </c>
      <c r="G36" s="5">
        <v>1</v>
      </c>
      <c r="H36" t="s">
        <v>1777</v>
      </c>
    </row>
    <row r="37" spans="1:8" x14ac:dyDescent="0.2">
      <c r="A37" t="s">
        <v>1764</v>
      </c>
      <c r="B37" s="6">
        <f t="shared" si="1"/>
        <v>0.87999999999999989</v>
      </c>
      <c r="C37" t="str">
        <f t="shared" si="0"/>
        <v>B</v>
      </c>
    </row>
    <row r="38" spans="1:8" x14ac:dyDescent="0.2">
      <c r="A38" t="s">
        <v>1765</v>
      </c>
      <c r="B38" s="6">
        <f t="shared" si="1"/>
        <v>0.85999999999999988</v>
      </c>
      <c r="C38" t="str">
        <f t="shared" si="0"/>
        <v>B</v>
      </c>
    </row>
    <row r="39" spans="1:8" x14ac:dyDescent="0.2">
      <c r="A39" t="s">
        <v>1766</v>
      </c>
      <c r="B39" s="6">
        <f t="shared" si="1"/>
        <v>0.83999999999999986</v>
      </c>
      <c r="C39" t="str">
        <f t="shared" si="0"/>
        <v>B</v>
      </c>
    </row>
    <row r="40" spans="1:8" x14ac:dyDescent="0.2">
      <c r="A40" t="s">
        <v>1767</v>
      </c>
      <c r="B40" s="6">
        <f t="shared" si="1"/>
        <v>0.81999999999999984</v>
      </c>
      <c r="C40" t="str">
        <f t="shared" si="0"/>
        <v>B</v>
      </c>
    </row>
    <row r="41" spans="1:8" x14ac:dyDescent="0.2">
      <c r="A41" t="s">
        <v>1763</v>
      </c>
      <c r="B41" s="6">
        <f t="shared" si="1"/>
        <v>0.79999999999999982</v>
      </c>
      <c r="C41" t="str">
        <f t="shared" si="0"/>
        <v>C</v>
      </c>
    </row>
    <row r="42" spans="1:8" x14ac:dyDescent="0.2">
      <c r="A42" t="s">
        <v>1764</v>
      </c>
      <c r="B42" s="6">
        <f t="shared" si="1"/>
        <v>0.7799999999999998</v>
      </c>
      <c r="C42" t="str">
        <f t="shared" si="0"/>
        <v>C</v>
      </c>
    </row>
    <row r="43" spans="1:8" x14ac:dyDescent="0.2">
      <c r="A43" t="s">
        <v>1765</v>
      </c>
      <c r="B43" s="6">
        <f t="shared" si="1"/>
        <v>0.75999999999999979</v>
      </c>
      <c r="C43" t="str">
        <f t="shared" si="0"/>
        <v>C</v>
      </c>
    </row>
    <row r="44" spans="1:8" x14ac:dyDescent="0.2">
      <c r="A44" t="s">
        <v>1766</v>
      </c>
      <c r="B44" s="6">
        <f t="shared" si="1"/>
        <v>0.73999999999999977</v>
      </c>
      <c r="C44" t="str">
        <f t="shared" si="0"/>
        <v>C</v>
      </c>
    </row>
    <row r="45" spans="1:8" x14ac:dyDescent="0.2">
      <c r="A45" t="s">
        <v>1767</v>
      </c>
      <c r="B45" s="6">
        <f t="shared" si="1"/>
        <v>0.71999999999999975</v>
      </c>
      <c r="C45" t="str">
        <f t="shared" si="0"/>
        <v>C</v>
      </c>
    </row>
    <row r="46" spans="1:8" x14ac:dyDescent="0.2">
      <c r="A46" t="s">
        <v>1778</v>
      </c>
      <c r="B46" s="6">
        <f t="shared" ref="B46:B49" si="2">B45-0.02</f>
        <v>0.69999999999999973</v>
      </c>
      <c r="C46" t="str">
        <f t="shared" si="0"/>
        <v>D</v>
      </c>
    </row>
    <row r="47" spans="1:8" x14ac:dyDescent="0.2">
      <c r="A47" t="s">
        <v>1779</v>
      </c>
      <c r="B47" s="6">
        <f t="shared" si="2"/>
        <v>0.67999999999999972</v>
      </c>
      <c r="C47" t="str">
        <f t="shared" si="0"/>
        <v>D</v>
      </c>
    </row>
    <row r="48" spans="1:8" x14ac:dyDescent="0.2">
      <c r="A48" t="s">
        <v>1780</v>
      </c>
      <c r="B48" s="6">
        <f t="shared" si="2"/>
        <v>0.6599999999999997</v>
      </c>
      <c r="C48" t="str">
        <f t="shared" si="0"/>
        <v>D</v>
      </c>
    </row>
    <row r="49" spans="1:3" x14ac:dyDescent="0.2">
      <c r="A49" t="s">
        <v>1781</v>
      </c>
      <c r="B49" s="6">
        <f t="shared" si="2"/>
        <v>0.63999999999999968</v>
      </c>
      <c r="C49" t="str">
        <f t="shared" si="0"/>
        <v>D</v>
      </c>
    </row>
  </sheetData>
  <sortState xmlns:xlrd2="http://schemas.microsoft.com/office/spreadsheetml/2017/richdata2" ref="A5:C8">
    <sortCondition descending="1" ref="A4:A8"/>
  </sortState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0FC1-AEE8-487F-A16E-5CE6B8A38E55}">
  <dimension ref="A1:J65"/>
  <sheetViews>
    <sheetView workbookViewId="0"/>
  </sheetViews>
  <sheetFormatPr baseColWidth="10" defaultColWidth="8.83203125" defaultRowHeight="16" x14ac:dyDescent="0.2"/>
  <cols>
    <col min="1" max="1" width="13.6640625" customWidth="1"/>
    <col min="9" max="9" width="12.6640625" customWidth="1"/>
    <col min="10" max="10" width="27.1640625" customWidth="1"/>
  </cols>
  <sheetData>
    <row r="1" spans="1:10" ht="28" x14ac:dyDescent="0.4">
      <c r="A1" s="1" t="s">
        <v>1857</v>
      </c>
    </row>
    <row r="3" spans="1:10" x14ac:dyDescent="0.2">
      <c r="A3" t="s">
        <v>1848</v>
      </c>
    </row>
    <row r="4" spans="1:10" x14ac:dyDescent="0.2">
      <c r="B4" t="s">
        <v>1858</v>
      </c>
    </row>
    <row r="5" spans="1:10" x14ac:dyDescent="0.2">
      <c r="B5" t="s">
        <v>1859</v>
      </c>
    </row>
    <row r="6" spans="1:10" x14ac:dyDescent="0.2">
      <c r="B6" t="s">
        <v>1860</v>
      </c>
    </row>
    <row r="9" spans="1:10" ht="31" x14ac:dyDescent="0.2">
      <c r="A9" s="8" t="s">
        <v>1842</v>
      </c>
    </row>
    <row r="10" spans="1:10" x14ac:dyDescent="0.2">
      <c r="A10" t="s">
        <v>1843</v>
      </c>
    </row>
    <row r="11" spans="1:10" x14ac:dyDescent="0.2">
      <c r="A11" t="s">
        <v>1844</v>
      </c>
    </row>
    <row r="15" spans="1:10" x14ac:dyDescent="0.2">
      <c r="A15" s="3" t="s">
        <v>1745</v>
      </c>
      <c r="B15" s="3" t="s">
        <v>1845</v>
      </c>
      <c r="I15" s="3" t="s">
        <v>1745</v>
      </c>
      <c r="J15" s="3" t="s">
        <v>1861</v>
      </c>
    </row>
    <row r="16" spans="1:10" ht="17" x14ac:dyDescent="0.2">
      <c r="A16" s="12" t="s">
        <v>1798</v>
      </c>
      <c r="B16" s="12">
        <v>1787</v>
      </c>
      <c r="I16" t="s">
        <v>1797</v>
      </c>
      <c r="J16" t="s">
        <v>1862</v>
      </c>
    </row>
    <row r="17" spans="1:10" ht="17" x14ac:dyDescent="0.2">
      <c r="A17" s="12" t="s">
        <v>1829</v>
      </c>
      <c r="B17" s="12">
        <v>1787</v>
      </c>
      <c r="I17" t="s">
        <v>1810</v>
      </c>
      <c r="J17" t="s">
        <v>1862</v>
      </c>
    </row>
    <row r="18" spans="1:10" ht="17" x14ac:dyDescent="0.2">
      <c r="A18" s="12" t="s">
        <v>1821</v>
      </c>
      <c r="B18" s="12">
        <v>1787</v>
      </c>
      <c r="I18" t="s">
        <v>1812</v>
      </c>
      <c r="J18" t="s">
        <v>1862</v>
      </c>
    </row>
    <row r="19" spans="1:10" ht="17" x14ac:dyDescent="0.2">
      <c r="A19" s="12" t="s">
        <v>1801</v>
      </c>
      <c r="B19" s="12">
        <v>1788</v>
      </c>
      <c r="I19" t="s">
        <v>1820</v>
      </c>
      <c r="J19" t="s">
        <v>1862</v>
      </c>
    </row>
    <row r="20" spans="1:10" ht="17" x14ac:dyDescent="0.2">
      <c r="A20" s="12" t="s">
        <v>1797</v>
      </c>
      <c r="B20" s="12">
        <v>1788</v>
      </c>
      <c r="I20" t="s">
        <v>1821</v>
      </c>
      <c r="J20" t="s">
        <v>1862</v>
      </c>
    </row>
    <row r="21" spans="1:10" ht="17" x14ac:dyDescent="0.2">
      <c r="A21" s="12" t="s">
        <v>1812</v>
      </c>
      <c r="B21" s="12">
        <v>1788</v>
      </c>
      <c r="I21" t="s">
        <v>1823</v>
      </c>
      <c r="J21" t="s">
        <v>1862</v>
      </c>
    </row>
    <row r="22" spans="1:10" ht="17" x14ac:dyDescent="0.2">
      <c r="A22" s="12" t="s">
        <v>1811</v>
      </c>
      <c r="B22" s="12">
        <v>1788</v>
      </c>
      <c r="I22" t="s">
        <v>1829</v>
      </c>
      <c r="J22" t="s">
        <v>1862</v>
      </c>
    </row>
    <row r="23" spans="1:10" ht="17" x14ac:dyDescent="0.2">
      <c r="A23" s="12" t="s">
        <v>1831</v>
      </c>
      <c r="B23" s="12">
        <v>1788</v>
      </c>
      <c r="I23" t="s">
        <v>1830</v>
      </c>
      <c r="J23" t="s">
        <v>1862</v>
      </c>
    </row>
    <row r="24" spans="1:10" ht="34" x14ac:dyDescent="0.2">
      <c r="A24" s="12" t="s">
        <v>1820</v>
      </c>
      <c r="B24" s="12">
        <v>1788</v>
      </c>
      <c r="I24" t="s">
        <v>1836</v>
      </c>
      <c r="J24" t="s">
        <v>1862</v>
      </c>
    </row>
    <row r="25" spans="1:10" ht="17" x14ac:dyDescent="0.2">
      <c r="A25" s="12" t="s">
        <v>1837</v>
      </c>
      <c r="B25" s="12">
        <v>1788</v>
      </c>
      <c r="I25" t="s">
        <v>1804</v>
      </c>
      <c r="J25" t="s">
        <v>1863</v>
      </c>
    </row>
    <row r="26" spans="1:10" ht="17" x14ac:dyDescent="0.2">
      <c r="A26" s="12" t="s">
        <v>1823</v>
      </c>
      <c r="B26" s="12">
        <v>1788</v>
      </c>
      <c r="I26" t="s">
        <v>1805</v>
      </c>
      <c r="J26" t="s">
        <v>1863</v>
      </c>
    </row>
    <row r="27" spans="1:10" ht="17" x14ac:dyDescent="0.2">
      <c r="A27" s="12" t="s">
        <v>1824</v>
      </c>
      <c r="B27" s="12">
        <v>1789</v>
      </c>
      <c r="I27" t="s">
        <v>1806</v>
      </c>
      <c r="J27" t="s">
        <v>1863</v>
      </c>
    </row>
    <row r="28" spans="1:10" ht="17" x14ac:dyDescent="0.2">
      <c r="A28" s="12" t="s">
        <v>1830</v>
      </c>
      <c r="B28" s="12">
        <v>1790</v>
      </c>
      <c r="I28" t="s">
        <v>1807</v>
      </c>
      <c r="J28" t="s">
        <v>1863</v>
      </c>
    </row>
    <row r="29" spans="1:10" ht="17" x14ac:dyDescent="0.2">
      <c r="A29" s="12" t="s">
        <v>1836</v>
      </c>
      <c r="B29" s="12">
        <v>1791</v>
      </c>
      <c r="I29" t="s">
        <v>1813</v>
      </c>
      <c r="J29" t="s">
        <v>1863</v>
      </c>
    </row>
    <row r="30" spans="1:10" ht="17" x14ac:dyDescent="0.2">
      <c r="A30" s="12" t="s">
        <v>1808</v>
      </c>
      <c r="B30" s="12">
        <v>1792</v>
      </c>
      <c r="I30" t="s">
        <v>1814</v>
      </c>
      <c r="J30" t="s">
        <v>1863</v>
      </c>
    </row>
    <row r="31" spans="1:10" ht="17" x14ac:dyDescent="0.2">
      <c r="A31" s="12" t="s">
        <v>1833</v>
      </c>
      <c r="B31" s="12">
        <v>1796</v>
      </c>
      <c r="I31" t="s">
        <v>1816</v>
      </c>
      <c r="J31" t="s">
        <v>1863</v>
      </c>
    </row>
    <row r="32" spans="1:10" ht="17" x14ac:dyDescent="0.2">
      <c r="A32" s="12" t="s">
        <v>1826</v>
      </c>
      <c r="B32" s="12">
        <v>1803</v>
      </c>
      <c r="I32" t="s">
        <v>1818</v>
      </c>
      <c r="J32" t="s">
        <v>1863</v>
      </c>
    </row>
    <row r="33" spans="1:10" ht="17" x14ac:dyDescent="0.2">
      <c r="A33" s="12" t="s">
        <v>1809</v>
      </c>
      <c r="B33" s="12">
        <v>1812</v>
      </c>
      <c r="I33" t="s">
        <v>1825</v>
      </c>
      <c r="J33" t="s">
        <v>1863</v>
      </c>
    </row>
    <row r="34" spans="1:10" ht="17" x14ac:dyDescent="0.2">
      <c r="A34" s="12" t="s">
        <v>1805</v>
      </c>
      <c r="B34" s="12">
        <v>1816</v>
      </c>
      <c r="I34" t="s">
        <v>1826</v>
      </c>
      <c r="J34" t="s">
        <v>1863</v>
      </c>
    </row>
    <row r="35" spans="1:10" ht="17" x14ac:dyDescent="0.2">
      <c r="A35" s="12" t="s">
        <v>1815</v>
      </c>
      <c r="B35" s="12">
        <v>1817</v>
      </c>
      <c r="I35" t="s">
        <v>1832</v>
      </c>
      <c r="J35" t="s">
        <v>1863</v>
      </c>
    </row>
    <row r="36" spans="1:10" ht="17" x14ac:dyDescent="0.2">
      <c r="A36" s="12" t="s">
        <v>1804</v>
      </c>
      <c r="B36" s="12">
        <v>1818</v>
      </c>
      <c r="I36" t="s">
        <v>1840</v>
      </c>
      <c r="J36" t="s">
        <v>1863</v>
      </c>
    </row>
    <row r="37" spans="1:10" ht="17" x14ac:dyDescent="0.2">
      <c r="A37" s="12" t="s">
        <v>1791</v>
      </c>
      <c r="B37" s="12">
        <v>1819</v>
      </c>
      <c r="I37" t="s">
        <v>1798</v>
      </c>
      <c r="J37" t="s">
        <v>1864</v>
      </c>
    </row>
    <row r="38" spans="1:10" ht="17" x14ac:dyDescent="0.2">
      <c r="A38" s="12" t="s">
        <v>1810</v>
      </c>
      <c r="B38" s="12">
        <v>1820</v>
      </c>
      <c r="I38" t="s">
        <v>1800</v>
      </c>
      <c r="J38" t="s">
        <v>1864</v>
      </c>
    </row>
    <row r="39" spans="1:10" ht="17" x14ac:dyDescent="0.2">
      <c r="A39" s="12" t="s">
        <v>1816</v>
      </c>
      <c r="B39" s="12">
        <v>1821</v>
      </c>
      <c r="I39" t="s">
        <v>1801</v>
      </c>
      <c r="J39" t="s">
        <v>1864</v>
      </c>
    </row>
    <row r="40" spans="1:10" ht="17" x14ac:dyDescent="0.2">
      <c r="A40" s="12" t="s">
        <v>1794</v>
      </c>
      <c r="B40" s="12">
        <v>1836</v>
      </c>
      <c r="I40" t="s">
        <v>1811</v>
      </c>
      <c r="J40" t="s">
        <v>1864</v>
      </c>
    </row>
    <row r="41" spans="1:10" ht="17" x14ac:dyDescent="0.2">
      <c r="A41" s="12" t="s">
        <v>1813</v>
      </c>
      <c r="B41" s="12">
        <v>1837</v>
      </c>
      <c r="I41" t="s">
        <v>1824</v>
      </c>
      <c r="J41" t="s">
        <v>1864</v>
      </c>
    </row>
    <row r="42" spans="1:10" ht="17" x14ac:dyDescent="0.2">
      <c r="A42" s="12" t="s">
        <v>1800</v>
      </c>
      <c r="B42" s="12">
        <v>1845</v>
      </c>
      <c r="I42" t="s">
        <v>1831</v>
      </c>
      <c r="J42" t="s">
        <v>1864</v>
      </c>
    </row>
    <row r="43" spans="1:10" ht="17" x14ac:dyDescent="0.2">
      <c r="A43" s="12" t="s">
        <v>1834</v>
      </c>
      <c r="B43" s="12">
        <v>1845</v>
      </c>
      <c r="I43" t="s">
        <v>1837</v>
      </c>
      <c r="J43" t="s">
        <v>1864</v>
      </c>
    </row>
    <row r="44" spans="1:10" ht="17" x14ac:dyDescent="0.2">
      <c r="A44" s="12" t="s">
        <v>1806</v>
      </c>
      <c r="B44" s="12">
        <v>1846</v>
      </c>
      <c r="I44" t="s">
        <v>1839</v>
      </c>
      <c r="J44" t="s">
        <v>1864</v>
      </c>
    </row>
    <row r="45" spans="1:10" ht="17" x14ac:dyDescent="0.2">
      <c r="A45" s="12" t="s">
        <v>1840</v>
      </c>
      <c r="B45" s="12">
        <v>1848</v>
      </c>
      <c r="I45" t="s">
        <v>1791</v>
      </c>
      <c r="J45" t="s">
        <v>1865</v>
      </c>
    </row>
    <row r="46" spans="1:10" ht="17" x14ac:dyDescent="0.2">
      <c r="A46" s="12" t="s">
        <v>1795</v>
      </c>
      <c r="B46" s="12">
        <v>1850</v>
      </c>
      <c r="I46" t="s">
        <v>1808</v>
      </c>
      <c r="J46" t="s">
        <v>1865</v>
      </c>
    </row>
    <row r="47" spans="1:10" ht="17" x14ac:dyDescent="0.2">
      <c r="A47" s="12" t="s">
        <v>1814</v>
      </c>
      <c r="B47" s="12">
        <v>1858</v>
      </c>
      <c r="I47" t="s">
        <v>1815</v>
      </c>
      <c r="J47" t="s">
        <v>1865</v>
      </c>
    </row>
    <row r="48" spans="1:10" ht="17" x14ac:dyDescent="0.2">
      <c r="A48" s="12" t="s">
        <v>1828</v>
      </c>
      <c r="B48" s="12">
        <v>1859</v>
      </c>
      <c r="I48" t="s">
        <v>1833</v>
      </c>
      <c r="J48" t="s">
        <v>1865</v>
      </c>
    </row>
    <row r="49" spans="1:10" ht="17" x14ac:dyDescent="0.2">
      <c r="A49" s="12" t="s">
        <v>1807</v>
      </c>
      <c r="B49" s="12">
        <v>1861</v>
      </c>
      <c r="I49" t="s">
        <v>1794</v>
      </c>
      <c r="J49" t="s">
        <v>1866</v>
      </c>
    </row>
    <row r="50" spans="1:10" ht="17" x14ac:dyDescent="0.2">
      <c r="A50" s="12" t="s">
        <v>1839</v>
      </c>
      <c r="B50" s="12">
        <v>1863</v>
      </c>
      <c r="I50" t="s">
        <v>1809</v>
      </c>
      <c r="J50" t="s">
        <v>1866</v>
      </c>
    </row>
    <row r="51" spans="1:10" ht="17" x14ac:dyDescent="0.2">
      <c r="A51" s="12" t="s">
        <v>1819</v>
      </c>
      <c r="B51" s="12">
        <v>1864</v>
      </c>
      <c r="I51" t="s">
        <v>1827</v>
      </c>
      <c r="J51" t="s">
        <v>1866</v>
      </c>
    </row>
    <row r="52" spans="1:10" ht="17" x14ac:dyDescent="0.2">
      <c r="A52" s="12" t="s">
        <v>1818</v>
      </c>
      <c r="B52" s="12">
        <v>1867</v>
      </c>
      <c r="I52" t="s">
        <v>1834</v>
      </c>
      <c r="J52" t="s">
        <v>1866</v>
      </c>
    </row>
    <row r="53" spans="1:10" ht="17" x14ac:dyDescent="0.2">
      <c r="A53" s="12" t="s">
        <v>1796</v>
      </c>
      <c r="B53" s="12">
        <v>1876</v>
      </c>
      <c r="I53" t="s">
        <v>1793</v>
      </c>
      <c r="J53" t="s">
        <v>1867</v>
      </c>
    </row>
    <row r="54" spans="1:10" ht="17" x14ac:dyDescent="0.2">
      <c r="A54" s="12" t="s">
        <v>1825</v>
      </c>
      <c r="B54" s="12">
        <v>1889</v>
      </c>
      <c r="I54" t="s">
        <v>1795</v>
      </c>
      <c r="J54" t="s">
        <v>1867</v>
      </c>
    </row>
    <row r="55" spans="1:10" ht="17" x14ac:dyDescent="0.2">
      <c r="A55" s="12" t="s">
        <v>1832</v>
      </c>
      <c r="B55" s="12">
        <v>1889</v>
      </c>
      <c r="I55" t="s">
        <v>1796</v>
      </c>
      <c r="J55" t="s">
        <v>1867</v>
      </c>
    </row>
    <row r="56" spans="1:10" ht="17" x14ac:dyDescent="0.2">
      <c r="A56" s="12" t="s">
        <v>1817</v>
      </c>
      <c r="B56" s="12">
        <v>1889</v>
      </c>
      <c r="I56" t="s">
        <v>1803</v>
      </c>
      <c r="J56" t="s">
        <v>1867</v>
      </c>
    </row>
    <row r="57" spans="1:10" ht="17" x14ac:dyDescent="0.2">
      <c r="A57" s="12" t="s">
        <v>1838</v>
      </c>
      <c r="B57" s="12">
        <v>1889</v>
      </c>
      <c r="I57" t="s">
        <v>1817</v>
      </c>
      <c r="J57" t="s">
        <v>1867</v>
      </c>
    </row>
    <row r="58" spans="1:10" ht="17" x14ac:dyDescent="0.2">
      <c r="A58" s="12" t="s">
        <v>1803</v>
      </c>
      <c r="B58" s="12">
        <v>1890</v>
      </c>
      <c r="I58" t="s">
        <v>1819</v>
      </c>
      <c r="J58" t="s">
        <v>1867</v>
      </c>
    </row>
    <row r="59" spans="1:10" ht="17" x14ac:dyDescent="0.2">
      <c r="A59" s="12" t="s">
        <v>1841</v>
      </c>
      <c r="B59" s="12">
        <v>1890</v>
      </c>
      <c r="I59" t="s">
        <v>1822</v>
      </c>
      <c r="J59" t="s">
        <v>1867</v>
      </c>
    </row>
    <row r="60" spans="1:10" ht="17" x14ac:dyDescent="0.2">
      <c r="A60" s="12" t="s">
        <v>1835</v>
      </c>
      <c r="B60" s="12">
        <v>1896</v>
      </c>
      <c r="I60" t="s">
        <v>1828</v>
      </c>
      <c r="J60" t="s">
        <v>1867</v>
      </c>
    </row>
    <row r="61" spans="1:10" ht="17" x14ac:dyDescent="0.2">
      <c r="A61" s="12" t="s">
        <v>1827</v>
      </c>
      <c r="B61" s="12">
        <v>1907</v>
      </c>
      <c r="I61" t="s">
        <v>1835</v>
      </c>
      <c r="J61" t="s">
        <v>1867</v>
      </c>
    </row>
    <row r="62" spans="1:10" ht="17" x14ac:dyDescent="0.2">
      <c r="A62" s="12" t="s">
        <v>1822</v>
      </c>
      <c r="B62" s="12">
        <v>1912</v>
      </c>
      <c r="I62" t="s">
        <v>1838</v>
      </c>
      <c r="J62" t="s">
        <v>1867</v>
      </c>
    </row>
    <row r="63" spans="1:10" ht="17" x14ac:dyDescent="0.2">
      <c r="A63" s="12" t="s">
        <v>1793</v>
      </c>
      <c r="B63" s="12">
        <v>1912</v>
      </c>
      <c r="I63" t="s">
        <v>1841</v>
      </c>
      <c r="J63" t="s">
        <v>1867</v>
      </c>
    </row>
    <row r="64" spans="1:10" ht="17" x14ac:dyDescent="0.2">
      <c r="A64" s="12" t="s">
        <v>1792</v>
      </c>
      <c r="B64" s="12">
        <v>1959</v>
      </c>
      <c r="I64" t="s">
        <v>1792</v>
      </c>
      <c r="J64" t="s">
        <v>1867</v>
      </c>
    </row>
    <row r="65" spans="1:10" ht="17" x14ac:dyDescent="0.2">
      <c r="A65" s="12" t="s">
        <v>1802</v>
      </c>
      <c r="B65" s="12">
        <v>1959</v>
      </c>
      <c r="I65" t="s">
        <v>1802</v>
      </c>
      <c r="J65" t="s">
        <v>1867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96AA-BEE0-A646-BEE0-B9D4297880C7}">
  <dimension ref="A1:G1405"/>
  <sheetViews>
    <sheetView workbookViewId="0"/>
  </sheetViews>
  <sheetFormatPr baseColWidth="10" defaultColWidth="11" defaultRowHeight="16" x14ac:dyDescent="0.2"/>
  <cols>
    <col min="1" max="1" width="30.83203125" customWidth="1"/>
    <col min="2" max="2" width="28.83203125" customWidth="1"/>
    <col min="3" max="3" width="19.6640625" customWidth="1"/>
    <col min="4" max="4" width="14.5" customWidth="1"/>
    <col min="5" max="5" width="15.83203125" customWidth="1"/>
    <col min="6" max="6" width="16.1640625" customWidth="1"/>
    <col min="7" max="7" width="20.5" customWidth="1"/>
    <col min="8" max="8" width="16" customWidth="1"/>
    <col min="11" max="11" width="13" bestFit="1" customWidth="1"/>
    <col min="12" max="12" width="20" bestFit="1" customWidth="1"/>
    <col min="13" max="13" width="18.6640625" bestFit="1" customWidth="1"/>
  </cols>
  <sheetData>
    <row r="1" spans="1:1" ht="24" x14ac:dyDescent="0.3">
      <c r="A1" s="4" t="s">
        <v>1738</v>
      </c>
    </row>
    <row r="2" spans="1:1" x14ac:dyDescent="0.2">
      <c r="A2" s="2" t="s">
        <v>1737</v>
      </c>
    </row>
    <row r="6" spans="1:1" x14ac:dyDescent="0.2">
      <c r="A6" t="s">
        <v>1739</v>
      </c>
    </row>
    <row r="7" spans="1:1" x14ac:dyDescent="0.2">
      <c r="A7" s="2" t="s">
        <v>1743</v>
      </c>
    </row>
    <row r="8" spans="1:1" x14ac:dyDescent="0.2">
      <c r="A8" s="2" t="s">
        <v>1741</v>
      </c>
    </row>
    <row r="9" spans="1:1" x14ac:dyDescent="0.2">
      <c r="A9" s="2" t="s">
        <v>1742</v>
      </c>
    </row>
    <row r="12" spans="1:1" x14ac:dyDescent="0.2">
      <c r="A12" t="s">
        <v>1740</v>
      </c>
    </row>
    <row r="13" spans="1:1" x14ac:dyDescent="0.2">
      <c r="A13" s="2" t="s">
        <v>1756</v>
      </c>
    </row>
    <row r="19" spans="1:7" x14ac:dyDescent="0.2">
      <c r="A19" t="s">
        <v>0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</row>
    <row r="20" spans="1:7" x14ac:dyDescent="0.2">
      <c r="A20" t="s">
        <v>1188</v>
      </c>
      <c r="B20" t="s">
        <v>687</v>
      </c>
      <c r="C20">
        <v>74825.929999999993</v>
      </c>
      <c r="D20">
        <v>55281.87</v>
      </c>
      <c r="E20">
        <v>524.29</v>
      </c>
      <c r="F20">
        <v>0</v>
      </c>
      <c r="G20">
        <v>19019.77</v>
      </c>
    </row>
    <row r="21" spans="1:7" x14ac:dyDescent="0.2">
      <c r="A21" t="s">
        <v>563</v>
      </c>
      <c r="B21" t="s">
        <v>125</v>
      </c>
      <c r="C21">
        <v>103908.35</v>
      </c>
      <c r="D21">
        <v>103728.35</v>
      </c>
      <c r="E21">
        <v>0</v>
      </c>
      <c r="F21">
        <v>0</v>
      </c>
      <c r="G21">
        <v>180</v>
      </c>
    </row>
    <row r="22" spans="1:7" x14ac:dyDescent="0.2">
      <c r="A22" t="s">
        <v>852</v>
      </c>
      <c r="B22" t="s">
        <v>853</v>
      </c>
      <c r="C22">
        <v>91757.08</v>
      </c>
      <c r="D22">
        <v>62684.09</v>
      </c>
      <c r="E22">
        <v>15359.98</v>
      </c>
      <c r="F22">
        <v>0</v>
      </c>
      <c r="G22">
        <v>13713.01</v>
      </c>
    </row>
    <row r="23" spans="1:7" x14ac:dyDescent="0.2">
      <c r="A23" t="s">
        <v>1151</v>
      </c>
      <c r="B23" t="s">
        <v>1152</v>
      </c>
      <c r="C23">
        <v>76499.839999999997</v>
      </c>
      <c r="D23">
        <v>76499.839999999997</v>
      </c>
      <c r="E23">
        <v>0</v>
      </c>
      <c r="F23">
        <v>0</v>
      </c>
      <c r="G23">
        <v>0</v>
      </c>
    </row>
    <row r="24" spans="1:7" x14ac:dyDescent="0.2">
      <c r="A24" t="s">
        <v>150</v>
      </c>
      <c r="B24" t="s">
        <v>65</v>
      </c>
      <c r="C24">
        <v>146835.79</v>
      </c>
      <c r="D24">
        <v>94663.83</v>
      </c>
      <c r="E24">
        <v>13045.68</v>
      </c>
      <c r="F24">
        <v>961</v>
      </c>
      <c r="G24">
        <v>38165.279999999999</v>
      </c>
    </row>
    <row r="25" spans="1:7" x14ac:dyDescent="0.2">
      <c r="A25" t="s">
        <v>1713</v>
      </c>
      <c r="B25" t="s">
        <v>330</v>
      </c>
      <c r="C25">
        <v>51854.29</v>
      </c>
      <c r="D25">
        <v>51025.29</v>
      </c>
      <c r="E25">
        <v>0</v>
      </c>
      <c r="F25">
        <v>0</v>
      </c>
      <c r="G25">
        <v>829</v>
      </c>
    </row>
    <row r="26" spans="1:7" x14ac:dyDescent="0.2">
      <c r="A26" t="s">
        <v>1609</v>
      </c>
      <c r="B26" t="s">
        <v>1576</v>
      </c>
      <c r="C26">
        <v>56911.6</v>
      </c>
      <c r="D26">
        <v>53913.53</v>
      </c>
      <c r="E26">
        <v>666.57</v>
      </c>
      <c r="F26">
        <v>0</v>
      </c>
      <c r="G26">
        <v>2331.5</v>
      </c>
    </row>
    <row r="27" spans="1:7" x14ac:dyDescent="0.2">
      <c r="A27" t="s">
        <v>965</v>
      </c>
      <c r="B27" t="s">
        <v>856</v>
      </c>
      <c r="C27">
        <v>84954.72</v>
      </c>
      <c r="D27">
        <v>71465.240000000005</v>
      </c>
      <c r="E27">
        <v>6017</v>
      </c>
      <c r="F27">
        <v>0</v>
      </c>
      <c r="G27">
        <v>7472.48</v>
      </c>
    </row>
    <row r="28" spans="1:7" x14ac:dyDescent="0.2">
      <c r="A28" t="s">
        <v>171</v>
      </c>
      <c r="B28" t="s">
        <v>130</v>
      </c>
      <c r="C28">
        <v>142071.26999999999</v>
      </c>
      <c r="D28">
        <v>82784.149999999994</v>
      </c>
      <c r="E28">
        <v>15210.5</v>
      </c>
      <c r="F28">
        <v>7118</v>
      </c>
      <c r="G28">
        <v>36958.620000000003</v>
      </c>
    </row>
    <row r="29" spans="1:7" x14ac:dyDescent="0.2">
      <c r="A29" t="s">
        <v>453</v>
      </c>
      <c r="B29" t="s">
        <v>454</v>
      </c>
      <c r="C29">
        <v>108381.85</v>
      </c>
      <c r="D29">
        <v>108181.85</v>
      </c>
      <c r="E29">
        <v>0</v>
      </c>
      <c r="F29">
        <v>0</v>
      </c>
      <c r="G29">
        <v>200</v>
      </c>
    </row>
    <row r="30" spans="1:7" x14ac:dyDescent="0.2">
      <c r="A30" t="s">
        <v>575</v>
      </c>
      <c r="B30" t="s">
        <v>404</v>
      </c>
      <c r="C30">
        <v>103375.67</v>
      </c>
      <c r="D30">
        <v>94441.78</v>
      </c>
      <c r="E30">
        <v>0</v>
      </c>
      <c r="F30">
        <v>0</v>
      </c>
      <c r="G30">
        <v>8933.89</v>
      </c>
    </row>
    <row r="31" spans="1:7" x14ac:dyDescent="0.2">
      <c r="A31" t="s">
        <v>951</v>
      </c>
      <c r="B31" t="s">
        <v>378</v>
      </c>
      <c r="C31">
        <v>85661.88</v>
      </c>
      <c r="D31">
        <v>80969.88</v>
      </c>
      <c r="E31">
        <v>0</v>
      </c>
      <c r="F31">
        <v>0</v>
      </c>
      <c r="G31">
        <v>4692</v>
      </c>
    </row>
    <row r="32" spans="1:7" x14ac:dyDescent="0.2">
      <c r="A32" t="s">
        <v>1401</v>
      </c>
      <c r="B32" t="s">
        <v>1000</v>
      </c>
      <c r="C32">
        <v>65587.64</v>
      </c>
      <c r="D32">
        <v>51728.24</v>
      </c>
      <c r="E32">
        <v>1926.32</v>
      </c>
      <c r="F32">
        <v>0</v>
      </c>
      <c r="G32">
        <v>11933.08</v>
      </c>
    </row>
    <row r="33" spans="1:7" x14ac:dyDescent="0.2">
      <c r="A33" t="s">
        <v>1234</v>
      </c>
      <c r="B33" t="s">
        <v>404</v>
      </c>
      <c r="C33">
        <v>72024.28</v>
      </c>
      <c r="D33">
        <v>71283.28</v>
      </c>
      <c r="E33">
        <v>0</v>
      </c>
      <c r="F33">
        <v>0</v>
      </c>
      <c r="G33">
        <v>741</v>
      </c>
    </row>
    <row r="34" spans="1:7" x14ac:dyDescent="0.2">
      <c r="A34" t="s">
        <v>912</v>
      </c>
      <c r="B34" t="s">
        <v>130</v>
      </c>
      <c r="C34">
        <v>88351.16</v>
      </c>
      <c r="D34">
        <v>69905.75</v>
      </c>
      <c r="E34">
        <v>3615.19</v>
      </c>
      <c r="F34">
        <v>481</v>
      </c>
      <c r="G34">
        <v>14349.22</v>
      </c>
    </row>
    <row r="35" spans="1:7" x14ac:dyDescent="0.2">
      <c r="A35" t="s">
        <v>927</v>
      </c>
      <c r="B35" t="s">
        <v>928</v>
      </c>
      <c r="C35">
        <v>87501.49</v>
      </c>
      <c r="D35">
        <v>87501.49</v>
      </c>
      <c r="E35">
        <v>0</v>
      </c>
      <c r="F35">
        <v>0</v>
      </c>
      <c r="G35">
        <v>0</v>
      </c>
    </row>
    <row r="36" spans="1:7" x14ac:dyDescent="0.2">
      <c r="A36" t="s">
        <v>983</v>
      </c>
      <c r="B36" t="s">
        <v>330</v>
      </c>
      <c r="C36">
        <v>83572.47</v>
      </c>
      <c r="D36">
        <v>81520.47</v>
      </c>
      <c r="E36">
        <v>0</v>
      </c>
      <c r="F36">
        <v>0</v>
      </c>
      <c r="G36">
        <v>2052</v>
      </c>
    </row>
    <row r="37" spans="1:7" x14ac:dyDescent="0.2">
      <c r="A37" t="s">
        <v>282</v>
      </c>
      <c r="B37" t="s">
        <v>283</v>
      </c>
      <c r="C37">
        <v>122667.74</v>
      </c>
      <c r="D37">
        <v>122150.31</v>
      </c>
      <c r="E37">
        <v>0</v>
      </c>
      <c r="F37">
        <v>0</v>
      </c>
      <c r="G37">
        <v>517.42999999999995</v>
      </c>
    </row>
    <row r="38" spans="1:7" x14ac:dyDescent="0.2">
      <c r="A38" t="s">
        <v>786</v>
      </c>
      <c r="B38" t="s">
        <v>378</v>
      </c>
      <c r="C38">
        <v>94456.59</v>
      </c>
      <c r="D38">
        <v>92582.43</v>
      </c>
      <c r="E38">
        <v>0</v>
      </c>
      <c r="F38">
        <v>0</v>
      </c>
      <c r="G38">
        <v>1874.16</v>
      </c>
    </row>
    <row r="39" spans="1:7" x14ac:dyDescent="0.2">
      <c r="A39" t="s">
        <v>232</v>
      </c>
      <c r="B39" t="s">
        <v>24</v>
      </c>
      <c r="C39">
        <v>129548.36</v>
      </c>
      <c r="D39">
        <v>60514.32</v>
      </c>
      <c r="E39">
        <v>8658.7800000000007</v>
      </c>
      <c r="F39">
        <v>55523.5</v>
      </c>
      <c r="G39">
        <v>4851.76</v>
      </c>
    </row>
    <row r="40" spans="1:7" x14ac:dyDescent="0.2">
      <c r="A40" t="s">
        <v>1573</v>
      </c>
      <c r="B40" t="s">
        <v>1134</v>
      </c>
      <c r="C40">
        <v>58740.639999999999</v>
      </c>
      <c r="D40">
        <v>45692.39</v>
      </c>
      <c r="E40">
        <v>4281.8599999999997</v>
      </c>
      <c r="F40">
        <v>0</v>
      </c>
      <c r="G40">
        <v>8766.39</v>
      </c>
    </row>
    <row r="41" spans="1:7" x14ac:dyDescent="0.2">
      <c r="A41" t="s">
        <v>182</v>
      </c>
      <c r="B41" t="s">
        <v>34</v>
      </c>
      <c r="C41">
        <v>139716.1</v>
      </c>
      <c r="D41">
        <v>94533.94</v>
      </c>
      <c r="E41">
        <v>8952.5400000000009</v>
      </c>
      <c r="F41">
        <v>28462</v>
      </c>
      <c r="G41">
        <v>7767.62</v>
      </c>
    </row>
    <row r="42" spans="1:7" x14ac:dyDescent="0.2">
      <c r="A42" t="s">
        <v>1651</v>
      </c>
      <c r="B42" t="s">
        <v>1621</v>
      </c>
      <c r="C42">
        <v>55092.74</v>
      </c>
      <c r="D42">
        <v>54750.559999999998</v>
      </c>
      <c r="E42">
        <v>0</v>
      </c>
      <c r="F42">
        <v>0</v>
      </c>
      <c r="G42">
        <v>342.18</v>
      </c>
    </row>
    <row r="43" spans="1:7" x14ac:dyDescent="0.2">
      <c r="A43" t="s">
        <v>772</v>
      </c>
      <c r="B43" t="s">
        <v>404</v>
      </c>
      <c r="C43">
        <v>95047.56</v>
      </c>
      <c r="D43">
        <v>94132.44</v>
      </c>
      <c r="E43">
        <v>0</v>
      </c>
      <c r="F43">
        <v>0</v>
      </c>
      <c r="G43">
        <v>915.12</v>
      </c>
    </row>
    <row r="44" spans="1:7" x14ac:dyDescent="0.2">
      <c r="A44" t="s">
        <v>131</v>
      </c>
      <c r="B44" t="s">
        <v>132</v>
      </c>
      <c r="C44">
        <v>152273.92000000001</v>
      </c>
      <c r="D44">
        <v>81390.559999999998</v>
      </c>
      <c r="E44">
        <v>56924.07</v>
      </c>
      <c r="F44">
        <v>3026.17</v>
      </c>
      <c r="G44">
        <v>10933.12</v>
      </c>
    </row>
    <row r="45" spans="1:7" x14ac:dyDescent="0.2">
      <c r="A45" t="s">
        <v>1191</v>
      </c>
      <c r="B45" t="s">
        <v>1085</v>
      </c>
      <c r="C45">
        <v>74429.490000000005</v>
      </c>
      <c r="D45">
        <v>73842.820000000007</v>
      </c>
      <c r="E45">
        <v>0</v>
      </c>
      <c r="F45">
        <v>0</v>
      </c>
      <c r="G45">
        <v>586.66999999999996</v>
      </c>
    </row>
    <row r="46" spans="1:7" x14ac:dyDescent="0.2">
      <c r="A46" t="s">
        <v>1003</v>
      </c>
      <c r="B46" t="s">
        <v>1004</v>
      </c>
      <c r="C46">
        <v>82384.84</v>
      </c>
      <c r="D46">
        <v>82384.84</v>
      </c>
      <c r="E46">
        <v>0</v>
      </c>
      <c r="F46">
        <v>0</v>
      </c>
      <c r="G46">
        <v>0</v>
      </c>
    </row>
    <row r="47" spans="1:7" x14ac:dyDescent="0.2">
      <c r="A47" t="s">
        <v>742</v>
      </c>
      <c r="B47" t="s">
        <v>404</v>
      </c>
      <c r="C47">
        <v>96313.51</v>
      </c>
      <c r="D47">
        <v>95194.51</v>
      </c>
      <c r="E47">
        <v>0</v>
      </c>
      <c r="F47">
        <v>0</v>
      </c>
      <c r="G47">
        <v>1119</v>
      </c>
    </row>
    <row r="48" spans="1:7" x14ac:dyDescent="0.2">
      <c r="A48" t="s">
        <v>63</v>
      </c>
      <c r="B48" t="s">
        <v>49</v>
      </c>
      <c r="C48">
        <v>193826.11</v>
      </c>
      <c r="D48">
        <v>110476.07</v>
      </c>
      <c r="E48">
        <v>34560.339999999997</v>
      </c>
      <c r="F48">
        <v>4695</v>
      </c>
      <c r="G48">
        <v>44094.7</v>
      </c>
    </row>
    <row r="49" spans="1:7" x14ac:dyDescent="0.2">
      <c r="A49" t="s">
        <v>77</v>
      </c>
      <c r="B49" t="s">
        <v>49</v>
      </c>
      <c r="C49">
        <v>183837.88</v>
      </c>
      <c r="D49">
        <v>108038.37</v>
      </c>
      <c r="E49">
        <v>30322.59</v>
      </c>
      <c r="F49">
        <v>1251</v>
      </c>
      <c r="G49">
        <v>44225.919999999998</v>
      </c>
    </row>
    <row r="50" spans="1:7" x14ac:dyDescent="0.2">
      <c r="A50" t="s">
        <v>436</v>
      </c>
      <c r="B50" t="s">
        <v>317</v>
      </c>
      <c r="C50">
        <v>109424.14</v>
      </c>
      <c r="D50">
        <v>56138.98</v>
      </c>
      <c r="E50">
        <v>37927.65</v>
      </c>
      <c r="F50">
        <v>0</v>
      </c>
      <c r="G50">
        <v>15357.51</v>
      </c>
    </row>
    <row r="51" spans="1:7" x14ac:dyDescent="0.2">
      <c r="A51" t="s">
        <v>1181</v>
      </c>
      <c r="B51" t="s">
        <v>330</v>
      </c>
      <c r="C51">
        <v>75301.350000000006</v>
      </c>
      <c r="D51">
        <v>75301.350000000006</v>
      </c>
      <c r="E51">
        <v>0</v>
      </c>
      <c r="F51">
        <v>0</v>
      </c>
      <c r="G51">
        <v>0</v>
      </c>
    </row>
    <row r="52" spans="1:7" x14ac:dyDescent="0.2">
      <c r="A52" t="s">
        <v>1471</v>
      </c>
      <c r="B52" t="s">
        <v>378</v>
      </c>
      <c r="C52">
        <v>62520.38</v>
      </c>
      <c r="D52">
        <v>61870.38</v>
      </c>
      <c r="E52">
        <v>0</v>
      </c>
      <c r="F52">
        <v>0</v>
      </c>
      <c r="G52">
        <v>650</v>
      </c>
    </row>
    <row r="53" spans="1:7" x14ac:dyDescent="0.2">
      <c r="A53" t="s">
        <v>506</v>
      </c>
      <c r="B53" t="s">
        <v>330</v>
      </c>
      <c r="C53">
        <v>105790.97</v>
      </c>
      <c r="D53">
        <v>99717.81</v>
      </c>
      <c r="E53">
        <v>0</v>
      </c>
      <c r="F53">
        <v>0</v>
      </c>
      <c r="G53">
        <v>6073.16</v>
      </c>
    </row>
    <row r="54" spans="1:7" x14ac:dyDescent="0.2">
      <c r="A54" t="s">
        <v>1583</v>
      </c>
      <c r="B54" t="s">
        <v>1558</v>
      </c>
      <c r="C54">
        <v>58343.21</v>
      </c>
      <c r="D54">
        <v>56504.13</v>
      </c>
      <c r="E54">
        <v>0</v>
      </c>
      <c r="F54">
        <v>0</v>
      </c>
      <c r="G54">
        <v>1839.08</v>
      </c>
    </row>
    <row r="55" spans="1:7" x14ac:dyDescent="0.2">
      <c r="A55" t="s">
        <v>1186</v>
      </c>
      <c r="B55" t="s">
        <v>519</v>
      </c>
      <c r="C55">
        <v>75221.87</v>
      </c>
      <c r="D55">
        <v>50532.74</v>
      </c>
      <c r="E55">
        <v>15038.48</v>
      </c>
      <c r="F55">
        <v>0</v>
      </c>
      <c r="G55">
        <v>9650.65</v>
      </c>
    </row>
    <row r="56" spans="1:7" x14ac:dyDescent="0.2">
      <c r="A56" t="s">
        <v>844</v>
      </c>
      <c r="B56" t="s">
        <v>845</v>
      </c>
      <c r="C56">
        <v>92084.15</v>
      </c>
      <c r="D56">
        <v>69450.080000000002</v>
      </c>
      <c r="E56">
        <v>5194.6099999999997</v>
      </c>
      <c r="F56">
        <v>0</v>
      </c>
      <c r="G56">
        <v>17439.46</v>
      </c>
    </row>
    <row r="57" spans="1:7" x14ac:dyDescent="0.2">
      <c r="A57" t="s">
        <v>1352</v>
      </c>
      <c r="B57" t="s">
        <v>433</v>
      </c>
      <c r="C57">
        <v>66917.119999999995</v>
      </c>
      <c r="D57">
        <v>65541.119999999995</v>
      </c>
      <c r="E57">
        <v>0</v>
      </c>
      <c r="F57">
        <v>0</v>
      </c>
      <c r="G57">
        <v>1376</v>
      </c>
    </row>
    <row r="58" spans="1:7" x14ac:dyDescent="0.2">
      <c r="A58" t="s">
        <v>596</v>
      </c>
      <c r="B58" t="s">
        <v>330</v>
      </c>
      <c r="C58">
        <v>102241.92</v>
      </c>
      <c r="D58">
        <v>101326.8</v>
      </c>
      <c r="E58">
        <v>0</v>
      </c>
      <c r="F58">
        <v>0</v>
      </c>
      <c r="G58">
        <v>915.12</v>
      </c>
    </row>
    <row r="59" spans="1:7" x14ac:dyDescent="0.2">
      <c r="A59" t="s">
        <v>1309</v>
      </c>
      <c r="B59" t="s">
        <v>330</v>
      </c>
      <c r="C59">
        <v>68903.02</v>
      </c>
      <c r="D59">
        <v>68824.02</v>
      </c>
      <c r="E59">
        <v>0</v>
      </c>
      <c r="F59">
        <v>0</v>
      </c>
      <c r="G59">
        <v>79</v>
      </c>
    </row>
    <row r="60" spans="1:7" x14ac:dyDescent="0.2">
      <c r="A60" t="s">
        <v>644</v>
      </c>
      <c r="B60" t="s">
        <v>433</v>
      </c>
      <c r="C60">
        <v>100274.65</v>
      </c>
      <c r="D60">
        <v>97717.77</v>
      </c>
      <c r="E60">
        <v>0</v>
      </c>
      <c r="F60">
        <v>0</v>
      </c>
      <c r="G60">
        <v>2556.88</v>
      </c>
    </row>
    <row r="61" spans="1:7" x14ac:dyDescent="0.2">
      <c r="A61" t="s">
        <v>1160</v>
      </c>
      <c r="B61" t="s">
        <v>1161</v>
      </c>
      <c r="C61">
        <v>76456.87</v>
      </c>
      <c r="D61">
        <v>76456.87</v>
      </c>
      <c r="E61">
        <v>0</v>
      </c>
      <c r="F61">
        <v>0</v>
      </c>
      <c r="G61">
        <v>0</v>
      </c>
    </row>
    <row r="62" spans="1:7" x14ac:dyDescent="0.2">
      <c r="A62" t="s">
        <v>700</v>
      </c>
      <c r="B62" t="s">
        <v>701</v>
      </c>
      <c r="C62">
        <v>98249.21</v>
      </c>
      <c r="D62">
        <v>75191.789999999994</v>
      </c>
      <c r="E62">
        <v>10202.92</v>
      </c>
      <c r="F62">
        <v>0</v>
      </c>
      <c r="G62">
        <v>12854.5</v>
      </c>
    </row>
    <row r="63" spans="1:7" x14ac:dyDescent="0.2">
      <c r="A63" t="s">
        <v>747</v>
      </c>
      <c r="B63" t="s">
        <v>748</v>
      </c>
      <c r="C63">
        <v>96032.8</v>
      </c>
      <c r="D63">
        <v>96032.8</v>
      </c>
      <c r="E63">
        <v>0</v>
      </c>
      <c r="F63">
        <v>0</v>
      </c>
      <c r="G63">
        <v>0</v>
      </c>
    </row>
    <row r="64" spans="1:7" x14ac:dyDescent="0.2">
      <c r="A64" t="s">
        <v>39</v>
      </c>
      <c r="B64" t="s">
        <v>26</v>
      </c>
      <c r="C64">
        <v>219457.28</v>
      </c>
      <c r="D64">
        <v>139799.79</v>
      </c>
      <c r="E64">
        <v>23536.93</v>
      </c>
      <c r="F64">
        <v>3150</v>
      </c>
      <c r="G64">
        <v>52970.559999999998</v>
      </c>
    </row>
    <row r="65" spans="1:7" x14ac:dyDescent="0.2">
      <c r="A65" t="s">
        <v>1104</v>
      </c>
      <c r="B65" t="s">
        <v>1105</v>
      </c>
      <c r="C65">
        <v>77936.06</v>
      </c>
      <c r="D65">
        <v>44135.03</v>
      </c>
      <c r="E65">
        <v>23760.71</v>
      </c>
      <c r="F65">
        <v>0</v>
      </c>
      <c r="G65">
        <v>10040.32</v>
      </c>
    </row>
    <row r="66" spans="1:7" x14ac:dyDescent="0.2">
      <c r="A66" t="s">
        <v>787</v>
      </c>
      <c r="B66" t="s">
        <v>788</v>
      </c>
      <c r="C66">
        <v>94371.3</v>
      </c>
      <c r="D66">
        <v>92891.6</v>
      </c>
      <c r="E66">
        <v>0</v>
      </c>
      <c r="F66">
        <v>0</v>
      </c>
      <c r="G66">
        <v>1479.7</v>
      </c>
    </row>
    <row r="67" spans="1:7" x14ac:dyDescent="0.2">
      <c r="A67" t="s">
        <v>294</v>
      </c>
      <c r="B67" t="s">
        <v>283</v>
      </c>
      <c r="C67">
        <v>122031.59</v>
      </c>
      <c r="D67">
        <v>116397.44</v>
      </c>
      <c r="E67">
        <v>0</v>
      </c>
      <c r="F67">
        <v>0</v>
      </c>
      <c r="G67">
        <v>5634.15</v>
      </c>
    </row>
    <row r="68" spans="1:7" x14ac:dyDescent="0.2">
      <c r="A68" t="s">
        <v>507</v>
      </c>
      <c r="B68" t="s">
        <v>378</v>
      </c>
      <c r="C68">
        <v>105737.98</v>
      </c>
      <c r="D68">
        <v>102727.86</v>
      </c>
      <c r="E68">
        <v>0</v>
      </c>
      <c r="F68">
        <v>0</v>
      </c>
      <c r="G68">
        <v>3010.12</v>
      </c>
    </row>
    <row r="69" spans="1:7" x14ac:dyDescent="0.2">
      <c r="A69" t="s">
        <v>136</v>
      </c>
      <c r="B69" t="s">
        <v>65</v>
      </c>
      <c r="C69">
        <v>151465.82999999999</v>
      </c>
      <c r="D69">
        <v>95868.24</v>
      </c>
      <c r="E69">
        <v>15210.13</v>
      </c>
      <c r="F69">
        <v>1962.5</v>
      </c>
      <c r="G69">
        <v>38424.959999999999</v>
      </c>
    </row>
    <row r="70" spans="1:7" x14ac:dyDescent="0.2">
      <c r="A70" t="s">
        <v>1571</v>
      </c>
      <c r="B70" t="s">
        <v>1572</v>
      </c>
      <c r="C70">
        <v>58796.959999999999</v>
      </c>
      <c r="D70">
        <v>55172.88</v>
      </c>
      <c r="E70">
        <v>3180.04</v>
      </c>
      <c r="F70">
        <v>0</v>
      </c>
      <c r="G70">
        <v>444.04</v>
      </c>
    </row>
    <row r="71" spans="1:7" x14ac:dyDescent="0.2">
      <c r="A71" t="s">
        <v>649</v>
      </c>
      <c r="B71" t="s">
        <v>378</v>
      </c>
      <c r="C71">
        <v>100208.09</v>
      </c>
      <c r="D71">
        <v>92205.62</v>
      </c>
      <c r="E71">
        <v>0</v>
      </c>
      <c r="F71">
        <v>0</v>
      </c>
      <c r="G71">
        <v>8002.47</v>
      </c>
    </row>
    <row r="72" spans="1:7" x14ac:dyDescent="0.2">
      <c r="A72" t="s">
        <v>1711</v>
      </c>
      <c r="B72" t="s">
        <v>1712</v>
      </c>
      <c r="C72">
        <v>51946</v>
      </c>
      <c r="D72">
        <v>49635.24</v>
      </c>
      <c r="E72">
        <v>0</v>
      </c>
      <c r="F72">
        <v>0</v>
      </c>
      <c r="G72">
        <v>2310.7600000000002</v>
      </c>
    </row>
    <row r="73" spans="1:7" x14ac:dyDescent="0.2">
      <c r="A73" t="s">
        <v>658</v>
      </c>
      <c r="B73" t="s">
        <v>519</v>
      </c>
      <c r="C73">
        <v>99860.25</v>
      </c>
      <c r="D73">
        <v>54464.08</v>
      </c>
      <c r="E73">
        <v>31151.54</v>
      </c>
      <c r="F73">
        <v>0</v>
      </c>
      <c r="G73">
        <v>14244.63</v>
      </c>
    </row>
    <row r="74" spans="1:7" x14ac:dyDescent="0.2">
      <c r="A74" t="s">
        <v>201</v>
      </c>
      <c r="B74" t="s">
        <v>130</v>
      </c>
      <c r="C74">
        <v>134438.38</v>
      </c>
      <c r="D74">
        <v>82826.36</v>
      </c>
      <c r="E74">
        <v>12903.19</v>
      </c>
      <c r="F74">
        <v>3306</v>
      </c>
      <c r="G74">
        <v>35402.83</v>
      </c>
    </row>
    <row r="75" spans="1:7" x14ac:dyDescent="0.2">
      <c r="A75" t="s">
        <v>865</v>
      </c>
      <c r="B75" t="s">
        <v>701</v>
      </c>
      <c r="C75">
        <v>91183.07</v>
      </c>
      <c r="D75">
        <v>76786.63</v>
      </c>
      <c r="E75">
        <v>939.37</v>
      </c>
      <c r="F75">
        <v>0</v>
      </c>
      <c r="G75">
        <v>13457.07</v>
      </c>
    </row>
    <row r="76" spans="1:7" x14ac:dyDescent="0.2">
      <c r="A76" t="s">
        <v>1472</v>
      </c>
      <c r="B76" t="s">
        <v>1440</v>
      </c>
      <c r="C76">
        <v>62505.06</v>
      </c>
      <c r="D76">
        <v>61788.34</v>
      </c>
      <c r="E76">
        <v>716.72</v>
      </c>
      <c r="F76">
        <v>0</v>
      </c>
      <c r="G76">
        <v>0</v>
      </c>
    </row>
    <row r="77" spans="1:7" x14ac:dyDescent="0.2">
      <c r="A77" t="s">
        <v>573</v>
      </c>
      <c r="B77" t="s">
        <v>378</v>
      </c>
      <c r="C77">
        <v>103437.75999999999</v>
      </c>
      <c r="D77">
        <v>99546.33</v>
      </c>
      <c r="E77">
        <v>0</v>
      </c>
      <c r="F77">
        <v>0</v>
      </c>
      <c r="G77">
        <v>3891.43</v>
      </c>
    </row>
    <row r="78" spans="1:7" x14ac:dyDescent="0.2">
      <c r="A78" t="s">
        <v>1258</v>
      </c>
      <c r="B78" t="s">
        <v>433</v>
      </c>
      <c r="C78">
        <v>70834.42</v>
      </c>
      <c r="D78">
        <v>70726.42</v>
      </c>
      <c r="E78">
        <v>0</v>
      </c>
      <c r="F78">
        <v>0</v>
      </c>
      <c r="G78">
        <v>108</v>
      </c>
    </row>
    <row r="79" spans="1:7" x14ac:dyDescent="0.2">
      <c r="A79" t="s">
        <v>974</v>
      </c>
      <c r="B79" t="s">
        <v>776</v>
      </c>
      <c r="C79">
        <v>84392.07</v>
      </c>
      <c r="D79">
        <v>68940.259999999995</v>
      </c>
      <c r="E79">
        <v>4866.26</v>
      </c>
      <c r="F79">
        <v>0</v>
      </c>
      <c r="G79">
        <v>10585.55</v>
      </c>
    </row>
    <row r="80" spans="1:7" x14ac:dyDescent="0.2">
      <c r="A80" t="s">
        <v>334</v>
      </c>
      <c r="B80" t="s">
        <v>130</v>
      </c>
      <c r="C80">
        <v>119209.34</v>
      </c>
      <c r="D80">
        <v>80114.92</v>
      </c>
      <c r="E80">
        <v>6974.48</v>
      </c>
      <c r="F80">
        <v>321</v>
      </c>
      <c r="G80">
        <v>31798.94</v>
      </c>
    </row>
    <row r="81" spans="1:7" x14ac:dyDescent="0.2">
      <c r="A81" t="s">
        <v>253</v>
      </c>
      <c r="B81" t="s">
        <v>130</v>
      </c>
      <c r="C81">
        <v>126338.52</v>
      </c>
      <c r="D81">
        <v>85527.43</v>
      </c>
      <c r="E81">
        <v>8587.5300000000007</v>
      </c>
      <c r="F81">
        <v>0</v>
      </c>
      <c r="G81">
        <v>32223.56</v>
      </c>
    </row>
    <row r="82" spans="1:7" x14ac:dyDescent="0.2">
      <c r="A82" t="s">
        <v>68</v>
      </c>
      <c r="B82" t="s">
        <v>69</v>
      </c>
      <c r="C82">
        <v>192508.34</v>
      </c>
      <c r="D82">
        <v>83697.66</v>
      </c>
      <c r="E82">
        <v>63599.040000000001</v>
      </c>
      <c r="F82">
        <v>0</v>
      </c>
      <c r="G82">
        <v>45211.64</v>
      </c>
    </row>
    <row r="83" spans="1:7" x14ac:dyDescent="0.2">
      <c r="A83" t="s">
        <v>791</v>
      </c>
      <c r="B83" t="s">
        <v>792</v>
      </c>
      <c r="C83">
        <v>94282.91</v>
      </c>
      <c r="D83">
        <v>69403.399999999994</v>
      </c>
      <c r="E83">
        <v>671.45</v>
      </c>
      <c r="F83">
        <v>0</v>
      </c>
      <c r="G83">
        <v>24208.06</v>
      </c>
    </row>
    <row r="84" spans="1:7" x14ac:dyDescent="0.2">
      <c r="A84" t="s">
        <v>846</v>
      </c>
      <c r="B84" t="s">
        <v>811</v>
      </c>
      <c r="C84">
        <v>91954.92</v>
      </c>
      <c r="D84">
        <v>91954.92</v>
      </c>
      <c r="E84">
        <v>0</v>
      </c>
      <c r="F84">
        <v>0</v>
      </c>
      <c r="G84">
        <v>0</v>
      </c>
    </row>
    <row r="85" spans="1:7" x14ac:dyDescent="0.2">
      <c r="A85" t="s">
        <v>1409</v>
      </c>
      <c r="B85" t="s">
        <v>1308</v>
      </c>
      <c r="C85">
        <v>65253.46</v>
      </c>
      <c r="D85">
        <v>65253.46</v>
      </c>
      <c r="E85">
        <v>0</v>
      </c>
      <c r="F85">
        <v>0</v>
      </c>
      <c r="G85">
        <v>0</v>
      </c>
    </row>
    <row r="86" spans="1:7" x14ac:dyDescent="0.2">
      <c r="A86" t="s">
        <v>1210</v>
      </c>
      <c r="B86" t="s">
        <v>1024</v>
      </c>
      <c r="C86">
        <v>72981.990000000005</v>
      </c>
      <c r="D86">
        <v>59186.02</v>
      </c>
      <c r="E86">
        <v>2174.4699999999998</v>
      </c>
      <c r="F86">
        <v>0</v>
      </c>
      <c r="G86">
        <v>11621.5</v>
      </c>
    </row>
    <row r="87" spans="1:7" x14ac:dyDescent="0.2">
      <c r="A87" t="s">
        <v>1027</v>
      </c>
      <c r="B87" t="s">
        <v>1028</v>
      </c>
      <c r="C87">
        <v>80970.09</v>
      </c>
      <c r="D87">
        <v>48244.01</v>
      </c>
      <c r="E87">
        <v>15100.78</v>
      </c>
      <c r="F87">
        <v>12636.31</v>
      </c>
      <c r="G87">
        <v>4988.99</v>
      </c>
    </row>
    <row r="88" spans="1:7" x14ac:dyDescent="0.2">
      <c r="A88" t="s">
        <v>1509</v>
      </c>
      <c r="B88" t="s">
        <v>378</v>
      </c>
      <c r="C88">
        <v>61340.14</v>
      </c>
      <c r="D88">
        <v>60896.56</v>
      </c>
      <c r="E88">
        <v>0</v>
      </c>
      <c r="F88">
        <v>0</v>
      </c>
      <c r="G88">
        <v>443.58</v>
      </c>
    </row>
    <row r="89" spans="1:7" x14ac:dyDescent="0.2">
      <c r="A89" t="s">
        <v>1222</v>
      </c>
      <c r="B89" t="s">
        <v>1223</v>
      </c>
      <c r="C89">
        <v>72467.48</v>
      </c>
      <c r="D89">
        <v>69465.58</v>
      </c>
      <c r="E89">
        <v>0</v>
      </c>
      <c r="F89">
        <v>0</v>
      </c>
      <c r="G89">
        <v>3001.9</v>
      </c>
    </row>
    <row r="90" spans="1:7" x14ac:dyDescent="0.2">
      <c r="A90" t="s">
        <v>1353</v>
      </c>
      <c r="B90" t="s">
        <v>378</v>
      </c>
      <c r="C90">
        <v>66911.350000000006</v>
      </c>
      <c r="D90">
        <v>65455.35</v>
      </c>
      <c r="E90">
        <v>0</v>
      </c>
      <c r="F90">
        <v>0</v>
      </c>
      <c r="G90">
        <v>1456</v>
      </c>
    </row>
    <row r="91" spans="1:7" x14ac:dyDescent="0.2">
      <c r="A91" t="s">
        <v>146</v>
      </c>
      <c r="B91" t="s">
        <v>147</v>
      </c>
      <c r="C91">
        <v>148563.72</v>
      </c>
      <c r="D91">
        <v>147265.43</v>
      </c>
      <c r="E91">
        <v>0</v>
      </c>
      <c r="F91">
        <v>0</v>
      </c>
      <c r="G91">
        <v>1298.29</v>
      </c>
    </row>
    <row r="92" spans="1:7" x14ac:dyDescent="0.2">
      <c r="A92" t="s">
        <v>551</v>
      </c>
      <c r="B92" t="s">
        <v>433</v>
      </c>
      <c r="C92">
        <v>104228.51</v>
      </c>
      <c r="D92">
        <v>102756.39</v>
      </c>
      <c r="E92">
        <v>0</v>
      </c>
      <c r="F92">
        <v>0</v>
      </c>
      <c r="G92">
        <v>1472.12</v>
      </c>
    </row>
    <row r="93" spans="1:7" x14ac:dyDescent="0.2">
      <c r="A93" t="s">
        <v>258</v>
      </c>
      <c r="B93" t="s">
        <v>24</v>
      </c>
      <c r="C93">
        <v>125434.65</v>
      </c>
      <c r="D93">
        <v>84749.74</v>
      </c>
      <c r="E93">
        <v>30107.11</v>
      </c>
      <c r="F93">
        <v>4068</v>
      </c>
      <c r="G93">
        <v>6509.8</v>
      </c>
    </row>
    <row r="94" spans="1:7" x14ac:dyDescent="0.2">
      <c r="A94" t="s">
        <v>1722</v>
      </c>
      <c r="B94" t="s">
        <v>1357</v>
      </c>
      <c r="C94">
        <v>50915.9</v>
      </c>
      <c r="D94">
        <v>43901.43</v>
      </c>
      <c r="E94">
        <v>2229.34</v>
      </c>
      <c r="F94">
        <v>0</v>
      </c>
      <c r="G94">
        <v>4785.13</v>
      </c>
    </row>
    <row r="95" spans="1:7" x14ac:dyDescent="0.2">
      <c r="A95" t="s">
        <v>1654</v>
      </c>
      <c r="B95" t="s">
        <v>1655</v>
      </c>
      <c r="C95">
        <v>54860.9</v>
      </c>
      <c r="D95">
        <v>54860.9</v>
      </c>
      <c r="E95">
        <v>0</v>
      </c>
      <c r="F95">
        <v>0</v>
      </c>
      <c r="G95">
        <v>0</v>
      </c>
    </row>
    <row r="96" spans="1:7" x14ac:dyDescent="0.2">
      <c r="A96" t="s">
        <v>707</v>
      </c>
      <c r="B96" t="s">
        <v>378</v>
      </c>
      <c r="C96">
        <v>97769.66</v>
      </c>
      <c r="D96">
        <v>94088.34</v>
      </c>
      <c r="E96">
        <v>0</v>
      </c>
      <c r="F96">
        <v>0</v>
      </c>
      <c r="G96">
        <v>3681.32</v>
      </c>
    </row>
    <row r="97" spans="1:7" x14ac:dyDescent="0.2">
      <c r="A97" t="s">
        <v>691</v>
      </c>
      <c r="B97" t="s">
        <v>330</v>
      </c>
      <c r="C97">
        <v>98496.84</v>
      </c>
      <c r="D97">
        <v>96794.94</v>
      </c>
      <c r="E97">
        <v>0</v>
      </c>
      <c r="F97">
        <v>0</v>
      </c>
      <c r="G97">
        <v>1701.9</v>
      </c>
    </row>
    <row r="98" spans="1:7" x14ac:dyDescent="0.2">
      <c r="A98" t="s">
        <v>689</v>
      </c>
      <c r="B98" t="s">
        <v>378</v>
      </c>
      <c r="C98">
        <v>98642.82</v>
      </c>
      <c r="D98">
        <v>96409.29</v>
      </c>
      <c r="E98">
        <v>0</v>
      </c>
      <c r="F98">
        <v>0</v>
      </c>
      <c r="G98">
        <v>2233.5300000000002</v>
      </c>
    </row>
    <row r="99" spans="1:7" x14ac:dyDescent="0.2">
      <c r="A99" t="s">
        <v>192</v>
      </c>
      <c r="B99" t="s">
        <v>130</v>
      </c>
      <c r="C99">
        <v>136295.88</v>
      </c>
      <c r="D99">
        <v>91459.31</v>
      </c>
      <c r="E99">
        <v>10133.99</v>
      </c>
      <c r="F99">
        <v>1184</v>
      </c>
      <c r="G99">
        <v>33518.58</v>
      </c>
    </row>
    <row r="100" spans="1:7" x14ac:dyDescent="0.2">
      <c r="A100" t="s">
        <v>112</v>
      </c>
      <c r="B100" t="s">
        <v>65</v>
      </c>
      <c r="C100">
        <v>161948.98000000001</v>
      </c>
      <c r="D100">
        <v>95629.3</v>
      </c>
      <c r="E100">
        <v>27124.5</v>
      </c>
      <c r="F100">
        <v>647</v>
      </c>
      <c r="G100">
        <v>38548.18</v>
      </c>
    </row>
    <row r="101" spans="1:7" x14ac:dyDescent="0.2">
      <c r="A101" t="s">
        <v>905</v>
      </c>
      <c r="B101" t="s">
        <v>404</v>
      </c>
      <c r="C101">
        <v>88711.95</v>
      </c>
      <c r="D101">
        <v>87087.95</v>
      </c>
      <c r="E101">
        <v>0</v>
      </c>
      <c r="F101">
        <v>0</v>
      </c>
      <c r="G101">
        <v>1624</v>
      </c>
    </row>
    <row r="102" spans="1:7" x14ac:dyDescent="0.2">
      <c r="A102" t="s">
        <v>1714</v>
      </c>
      <c r="B102" t="s">
        <v>648</v>
      </c>
      <c r="C102">
        <v>51824.1</v>
      </c>
      <c r="D102">
        <v>49521.84</v>
      </c>
      <c r="E102">
        <v>0</v>
      </c>
      <c r="F102">
        <v>0</v>
      </c>
      <c r="G102">
        <v>2302.2600000000002</v>
      </c>
    </row>
    <row r="103" spans="1:7" x14ac:dyDescent="0.2">
      <c r="A103" t="s">
        <v>749</v>
      </c>
      <c r="B103" t="s">
        <v>330</v>
      </c>
      <c r="C103">
        <v>96006.6</v>
      </c>
      <c r="D103">
        <v>94132.44</v>
      </c>
      <c r="E103">
        <v>0</v>
      </c>
      <c r="F103">
        <v>0</v>
      </c>
      <c r="G103">
        <v>1874.16</v>
      </c>
    </row>
    <row r="104" spans="1:7" x14ac:dyDescent="0.2">
      <c r="A104" t="s">
        <v>1640</v>
      </c>
      <c r="B104" t="s">
        <v>330</v>
      </c>
      <c r="C104">
        <v>55349.67</v>
      </c>
      <c r="D104">
        <v>55349.67</v>
      </c>
      <c r="E104">
        <v>0</v>
      </c>
      <c r="F104">
        <v>0</v>
      </c>
      <c r="G104">
        <v>0</v>
      </c>
    </row>
    <row r="105" spans="1:7" x14ac:dyDescent="0.2">
      <c r="A105" t="s">
        <v>540</v>
      </c>
      <c r="B105" t="s">
        <v>330</v>
      </c>
      <c r="C105">
        <v>104771.34</v>
      </c>
      <c r="D105">
        <v>103077.81</v>
      </c>
      <c r="E105">
        <v>0</v>
      </c>
      <c r="F105">
        <v>0</v>
      </c>
      <c r="G105">
        <v>1693.53</v>
      </c>
    </row>
    <row r="106" spans="1:7" x14ac:dyDescent="0.2">
      <c r="A106" t="s">
        <v>960</v>
      </c>
      <c r="B106" t="s">
        <v>830</v>
      </c>
      <c r="C106">
        <v>85370.76</v>
      </c>
      <c r="D106">
        <v>85370.76</v>
      </c>
      <c r="E106">
        <v>0</v>
      </c>
      <c r="F106">
        <v>0</v>
      </c>
      <c r="G106">
        <v>0</v>
      </c>
    </row>
    <row r="107" spans="1:7" x14ac:dyDescent="0.2">
      <c r="A107" t="s">
        <v>128</v>
      </c>
      <c r="B107" t="s">
        <v>24</v>
      </c>
      <c r="C107">
        <v>153778.23999999999</v>
      </c>
      <c r="D107">
        <v>87938.73</v>
      </c>
      <c r="E107">
        <v>1721.82</v>
      </c>
      <c r="F107">
        <v>54486.5</v>
      </c>
      <c r="G107">
        <v>9631.19</v>
      </c>
    </row>
    <row r="108" spans="1:7" x14ac:dyDescent="0.2">
      <c r="A108" t="s">
        <v>615</v>
      </c>
      <c r="B108" t="s">
        <v>616</v>
      </c>
      <c r="C108">
        <v>101451.09</v>
      </c>
      <c r="D108">
        <v>100469.91</v>
      </c>
      <c r="E108">
        <v>0</v>
      </c>
      <c r="F108">
        <v>0</v>
      </c>
      <c r="G108">
        <v>981.18</v>
      </c>
    </row>
    <row r="109" spans="1:7" x14ac:dyDescent="0.2">
      <c r="A109" t="s">
        <v>686</v>
      </c>
      <c r="B109" t="s">
        <v>687</v>
      </c>
      <c r="C109">
        <v>98714.85</v>
      </c>
      <c r="D109">
        <v>68400.429999999993</v>
      </c>
      <c r="E109">
        <v>50.92</v>
      </c>
      <c r="F109">
        <v>0</v>
      </c>
      <c r="G109">
        <v>30263.5</v>
      </c>
    </row>
    <row r="110" spans="1:7" x14ac:dyDescent="0.2">
      <c r="A110" t="s">
        <v>1096</v>
      </c>
      <c r="B110" t="s">
        <v>1097</v>
      </c>
      <c r="C110">
        <v>78264.03</v>
      </c>
      <c r="D110">
        <v>75869.37</v>
      </c>
      <c r="E110">
        <v>0</v>
      </c>
      <c r="F110">
        <v>0</v>
      </c>
      <c r="G110">
        <v>2394.66</v>
      </c>
    </row>
    <row r="111" spans="1:7" x14ac:dyDescent="0.2">
      <c r="A111" t="s">
        <v>622</v>
      </c>
      <c r="B111" t="s">
        <v>404</v>
      </c>
      <c r="C111">
        <v>101111.25</v>
      </c>
      <c r="D111">
        <v>99417.72</v>
      </c>
      <c r="E111">
        <v>0</v>
      </c>
      <c r="F111">
        <v>0</v>
      </c>
      <c r="G111">
        <v>1693.53</v>
      </c>
    </row>
    <row r="112" spans="1:7" x14ac:dyDescent="0.2">
      <c r="A112" t="s">
        <v>577</v>
      </c>
      <c r="B112" t="s">
        <v>448</v>
      </c>
      <c r="C112">
        <v>103289.51</v>
      </c>
      <c r="D112">
        <v>102427.86</v>
      </c>
      <c r="E112">
        <v>0</v>
      </c>
      <c r="F112">
        <v>0</v>
      </c>
      <c r="G112">
        <v>861.65</v>
      </c>
    </row>
    <row r="113" spans="1:7" x14ac:dyDescent="0.2">
      <c r="A113" t="s">
        <v>1073</v>
      </c>
      <c r="B113" t="s">
        <v>330</v>
      </c>
      <c r="C113">
        <v>79173.81</v>
      </c>
      <c r="D113">
        <v>79173.81</v>
      </c>
      <c r="E113">
        <v>0</v>
      </c>
      <c r="F113">
        <v>0</v>
      </c>
      <c r="G113">
        <v>0</v>
      </c>
    </row>
    <row r="114" spans="1:7" x14ac:dyDescent="0.2">
      <c r="A114" t="s">
        <v>1221</v>
      </c>
      <c r="B114" t="s">
        <v>130</v>
      </c>
      <c r="C114">
        <v>72489.009999999995</v>
      </c>
      <c r="D114">
        <v>58884.5</v>
      </c>
      <c r="E114">
        <v>6158.33</v>
      </c>
      <c r="F114">
        <v>0</v>
      </c>
      <c r="G114">
        <v>7446.18</v>
      </c>
    </row>
    <row r="115" spans="1:7" x14ac:dyDescent="0.2">
      <c r="A115" t="s">
        <v>874</v>
      </c>
      <c r="B115" t="s">
        <v>404</v>
      </c>
      <c r="C115">
        <v>90686.39</v>
      </c>
      <c r="D115">
        <v>88134.27</v>
      </c>
      <c r="E115">
        <v>0</v>
      </c>
      <c r="F115">
        <v>0</v>
      </c>
      <c r="G115">
        <v>2552.12</v>
      </c>
    </row>
    <row r="116" spans="1:7" x14ac:dyDescent="0.2">
      <c r="A116" t="s">
        <v>1561</v>
      </c>
      <c r="B116" t="s">
        <v>404</v>
      </c>
      <c r="C116">
        <v>59435.34</v>
      </c>
      <c r="D116">
        <v>59381.34</v>
      </c>
      <c r="E116">
        <v>0</v>
      </c>
      <c r="F116">
        <v>0</v>
      </c>
      <c r="G116">
        <v>54</v>
      </c>
    </row>
    <row r="117" spans="1:7" x14ac:dyDescent="0.2">
      <c r="A117" t="s">
        <v>501</v>
      </c>
      <c r="B117" t="s">
        <v>330</v>
      </c>
      <c r="C117">
        <v>105987.45</v>
      </c>
      <c r="D117">
        <v>103677.79</v>
      </c>
      <c r="E117">
        <v>0</v>
      </c>
      <c r="F117">
        <v>0</v>
      </c>
      <c r="G117">
        <v>2309.66</v>
      </c>
    </row>
    <row r="118" spans="1:7" x14ac:dyDescent="0.2">
      <c r="A118" t="s">
        <v>738</v>
      </c>
      <c r="B118" t="s">
        <v>330</v>
      </c>
      <c r="C118">
        <v>96554.72</v>
      </c>
      <c r="D118">
        <v>93246.720000000001</v>
      </c>
      <c r="E118">
        <v>0</v>
      </c>
      <c r="F118">
        <v>0</v>
      </c>
      <c r="G118">
        <v>3308</v>
      </c>
    </row>
    <row r="119" spans="1:7" x14ac:dyDescent="0.2">
      <c r="A119" t="s">
        <v>375</v>
      </c>
      <c r="B119" t="s">
        <v>265</v>
      </c>
      <c r="C119">
        <v>113656.14</v>
      </c>
      <c r="D119">
        <v>109894.78</v>
      </c>
      <c r="E119">
        <v>0</v>
      </c>
      <c r="F119">
        <v>0</v>
      </c>
      <c r="G119">
        <v>3761.36</v>
      </c>
    </row>
    <row r="120" spans="1:7" x14ac:dyDescent="0.2">
      <c r="A120" t="s">
        <v>1664</v>
      </c>
      <c r="B120" t="s">
        <v>761</v>
      </c>
      <c r="C120">
        <v>54393.82</v>
      </c>
      <c r="D120">
        <v>41348.25</v>
      </c>
      <c r="E120">
        <v>56.62</v>
      </c>
      <c r="F120">
        <v>0</v>
      </c>
      <c r="G120">
        <v>12988.95</v>
      </c>
    </row>
    <row r="121" spans="1:7" x14ac:dyDescent="0.2">
      <c r="A121" t="s">
        <v>1390</v>
      </c>
      <c r="B121" t="s">
        <v>1028</v>
      </c>
      <c r="C121">
        <v>65875.149999999994</v>
      </c>
      <c r="D121">
        <v>54135.07</v>
      </c>
      <c r="E121">
        <v>2441.75</v>
      </c>
      <c r="F121">
        <v>6137.41</v>
      </c>
      <c r="G121">
        <v>3160.92</v>
      </c>
    </row>
    <row r="122" spans="1:7" x14ac:dyDescent="0.2">
      <c r="A122" t="s">
        <v>1610</v>
      </c>
      <c r="B122" t="s">
        <v>635</v>
      </c>
      <c r="C122">
        <v>56833.68</v>
      </c>
      <c r="D122">
        <v>56653.68</v>
      </c>
      <c r="E122">
        <v>0</v>
      </c>
      <c r="F122">
        <v>0</v>
      </c>
      <c r="G122">
        <v>180</v>
      </c>
    </row>
    <row r="123" spans="1:7" x14ac:dyDescent="0.2">
      <c r="A123" t="s">
        <v>362</v>
      </c>
      <c r="B123" t="s">
        <v>283</v>
      </c>
      <c r="C123">
        <v>116216.02</v>
      </c>
      <c r="D123">
        <v>114897.44</v>
      </c>
      <c r="E123">
        <v>0</v>
      </c>
      <c r="F123">
        <v>0</v>
      </c>
      <c r="G123">
        <v>1318.58</v>
      </c>
    </row>
    <row r="124" spans="1:7" x14ac:dyDescent="0.2">
      <c r="A124" t="s">
        <v>126</v>
      </c>
      <c r="B124" t="s">
        <v>65</v>
      </c>
      <c r="C124">
        <v>154400.13</v>
      </c>
      <c r="D124">
        <v>100633.29</v>
      </c>
      <c r="E124">
        <v>15940.67</v>
      </c>
      <c r="F124">
        <v>160</v>
      </c>
      <c r="G124">
        <v>37666.17</v>
      </c>
    </row>
    <row r="125" spans="1:7" x14ac:dyDescent="0.2">
      <c r="A125" t="s">
        <v>476</v>
      </c>
      <c r="B125" t="s">
        <v>477</v>
      </c>
      <c r="C125">
        <v>107141.06</v>
      </c>
      <c r="D125">
        <v>107141.06</v>
      </c>
      <c r="E125">
        <v>0</v>
      </c>
      <c r="F125">
        <v>0</v>
      </c>
      <c r="G125">
        <v>0</v>
      </c>
    </row>
    <row r="126" spans="1:7" x14ac:dyDescent="0.2">
      <c r="A126" t="s">
        <v>271</v>
      </c>
      <c r="B126" t="s">
        <v>24</v>
      </c>
      <c r="C126">
        <v>124036.24</v>
      </c>
      <c r="D126">
        <v>80825.17</v>
      </c>
      <c r="E126">
        <v>12673.67</v>
      </c>
      <c r="F126">
        <v>24272</v>
      </c>
      <c r="G126">
        <v>6265.4</v>
      </c>
    </row>
    <row r="127" spans="1:7" x14ac:dyDescent="0.2">
      <c r="A127" t="s">
        <v>803</v>
      </c>
      <c r="B127" t="s">
        <v>404</v>
      </c>
      <c r="C127">
        <v>93842.69</v>
      </c>
      <c r="D127">
        <v>92582.43</v>
      </c>
      <c r="E127">
        <v>0</v>
      </c>
      <c r="F127">
        <v>0</v>
      </c>
      <c r="G127">
        <v>1260.26</v>
      </c>
    </row>
    <row r="128" spans="1:7" x14ac:dyDescent="0.2">
      <c r="A128" t="s">
        <v>1728</v>
      </c>
      <c r="B128" t="s">
        <v>1706</v>
      </c>
      <c r="C128">
        <v>50715.06</v>
      </c>
      <c r="D128">
        <v>49215.06</v>
      </c>
      <c r="E128">
        <v>0</v>
      </c>
      <c r="F128">
        <v>0</v>
      </c>
      <c r="G128">
        <v>1500</v>
      </c>
    </row>
    <row r="129" spans="1:7" x14ac:dyDescent="0.2">
      <c r="A129" t="s">
        <v>1267</v>
      </c>
      <c r="B129" t="s">
        <v>378</v>
      </c>
      <c r="C129">
        <v>70527.34</v>
      </c>
      <c r="D129">
        <v>69602.34</v>
      </c>
      <c r="E129">
        <v>0</v>
      </c>
      <c r="F129">
        <v>0</v>
      </c>
      <c r="G129">
        <v>925</v>
      </c>
    </row>
    <row r="130" spans="1:7" x14ac:dyDescent="0.2">
      <c r="A130" t="s">
        <v>919</v>
      </c>
      <c r="B130" t="s">
        <v>920</v>
      </c>
      <c r="C130">
        <v>88222.13</v>
      </c>
      <c r="D130">
        <v>88122.13</v>
      </c>
      <c r="E130">
        <v>0</v>
      </c>
      <c r="F130">
        <v>0</v>
      </c>
      <c r="G130">
        <v>100</v>
      </c>
    </row>
    <row r="131" spans="1:7" x14ac:dyDescent="0.2">
      <c r="A131" t="s">
        <v>1343</v>
      </c>
      <c r="B131" t="s">
        <v>378</v>
      </c>
      <c r="C131">
        <v>67401.899999999994</v>
      </c>
      <c r="D131">
        <v>67401.899999999994</v>
      </c>
      <c r="E131">
        <v>0</v>
      </c>
      <c r="F131">
        <v>0</v>
      </c>
      <c r="G131">
        <v>0</v>
      </c>
    </row>
    <row r="132" spans="1:7" x14ac:dyDescent="0.2">
      <c r="A132" t="s">
        <v>536</v>
      </c>
      <c r="B132" t="s">
        <v>404</v>
      </c>
      <c r="C132">
        <v>104800.17</v>
      </c>
      <c r="D132">
        <v>100225.97</v>
      </c>
      <c r="E132">
        <v>0</v>
      </c>
      <c r="F132">
        <v>0</v>
      </c>
      <c r="G132">
        <v>4574.2</v>
      </c>
    </row>
    <row r="133" spans="1:7" x14ac:dyDescent="0.2">
      <c r="A133" t="s">
        <v>301</v>
      </c>
      <c r="B133" t="s">
        <v>302</v>
      </c>
      <c r="C133">
        <v>121410.78</v>
      </c>
      <c r="D133">
        <v>103981.08</v>
      </c>
      <c r="E133">
        <v>0</v>
      </c>
      <c r="F133">
        <v>0</v>
      </c>
      <c r="G133">
        <v>17429.7</v>
      </c>
    </row>
    <row r="134" spans="1:7" x14ac:dyDescent="0.2">
      <c r="A134" t="s">
        <v>760</v>
      </c>
      <c r="B134" t="s">
        <v>761</v>
      </c>
      <c r="C134">
        <v>95541.4</v>
      </c>
      <c r="D134">
        <v>71277.509999999995</v>
      </c>
      <c r="E134">
        <v>8462.5499999999993</v>
      </c>
      <c r="F134">
        <v>0</v>
      </c>
      <c r="G134">
        <v>15801.34</v>
      </c>
    </row>
    <row r="135" spans="1:7" x14ac:dyDescent="0.2">
      <c r="A135" t="s">
        <v>1139</v>
      </c>
      <c r="B135" t="s">
        <v>378</v>
      </c>
      <c r="C135">
        <v>76795.990000000005</v>
      </c>
      <c r="D135">
        <v>74118.66</v>
      </c>
      <c r="E135">
        <v>0</v>
      </c>
      <c r="F135">
        <v>0</v>
      </c>
      <c r="G135">
        <v>2677.33</v>
      </c>
    </row>
    <row r="136" spans="1:7" x14ac:dyDescent="0.2">
      <c r="A136" t="s">
        <v>1554</v>
      </c>
      <c r="B136" t="s">
        <v>283</v>
      </c>
      <c r="C136">
        <v>59528.56</v>
      </c>
      <c r="D136">
        <v>59396.63</v>
      </c>
      <c r="E136">
        <v>0</v>
      </c>
      <c r="F136">
        <v>0</v>
      </c>
      <c r="G136">
        <v>131.93</v>
      </c>
    </row>
    <row r="137" spans="1:7" x14ac:dyDescent="0.2">
      <c r="A137" t="s">
        <v>1477</v>
      </c>
      <c r="B137" t="s">
        <v>1478</v>
      </c>
      <c r="C137">
        <v>62258.43</v>
      </c>
      <c r="D137">
        <v>59654.47</v>
      </c>
      <c r="E137">
        <v>0</v>
      </c>
      <c r="F137">
        <v>0</v>
      </c>
      <c r="G137">
        <v>2603.96</v>
      </c>
    </row>
    <row r="138" spans="1:7" x14ac:dyDescent="0.2">
      <c r="A138" t="s">
        <v>45</v>
      </c>
      <c r="B138" t="s">
        <v>46</v>
      </c>
      <c r="C138">
        <v>215769.51</v>
      </c>
      <c r="D138">
        <v>161536.26</v>
      </c>
      <c r="E138">
        <v>0</v>
      </c>
      <c r="F138">
        <v>0</v>
      </c>
      <c r="G138">
        <v>54233.25</v>
      </c>
    </row>
    <row r="139" spans="1:7" x14ac:dyDescent="0.2">
      <c r="A139" t="s">
        <v>863</v>
      </c>
      <c r="B139" t="s">
        <v>856</v>
      </c>
      <c r="C139">
        <v>91518.93</v>
      </c>
      <c r="D139">
        <v>71465.25</v>
      </c>
      <c r="E139">
        <v>9895.2000000000007</v>
      </c>
      <c r="F139">
        <v>0</v>
      </c>
      <c r="G139">
        <v>10158.48</v>
      </c>
    </row>
    <row r="140" spans="1:7" x14ac:dyDescent="0.2">
      <c r="A140" t="s">
        <v>553</v>
      </c>
      <c r="B140" t="s">
        <v>492</v>
      </c>
      <c r="C140">
        <v>104179.83</v>
      </c>
      <c r="D140">
        <v>80836.539999999994</v>
      </c>
      <c r="E140">
        <v>12467.98</v>
      </c>
      <c r="F140">
        <v>0</v>
      </c>
      <c r="G140">
        <v>10875.31</v>
      </c>
    </row>
    <row r="141" spans="1:7" x14ac:dyDescent="0.2">
      <c r="A141" t="s">
        <v>1627</v>
      </c>
      <c r="B141" t="s">
        <v>1134</v>
      </c>
      <c r="C141">
        <v>55777.47</v>
      </c>
      <c r="D141">
        <v>45171.03</v>
      </c>
      <c r="E141">
        <v>757.36</v>
      </c>
      <c r="F141">
        <v>0</v>
      </c>
      <c r="G141">
        <v>9849.08</v>
      </c>
    </row>
    <row r="142" spans="1:7" x14ac:dyDescent="0.2">
      <c r="A142" t="s">
        <v>176</v>
      </c>
      <c r="B142" t="s">
        <v>177</v>
      </c>
      <c r="C142">
        <v>140947.45000000001</v>
      </c>
      <c r="D142">
        <v>136908.4</v>
      </c>
      <c r="E142">
        <v>0</v>
      </c>
      <c r="F142">
        <v>0</v>
      </c>
      <c r="G142">
        <v>4039.05</v>
      </c>
    </row>
    <row r="143" spans="1:7" x14ac:dyDescent="0.2">
      <c r="A143" t="s">
        <v>592</v>
      </c>
      <c r="B143" t="s">
        <v>404</v>
      </c>
      <c r="C143">
        <v>102390.46</v>
      </c>
      <c r="D143">
        <v>97551.31</v>
      </c>
      <c r="E143">
        <v>0</v>
      </c>
      <c r="F143">
        <v>0</v>
      </c>
      <c r="G143">
        <v>4839.1499999999996</v>
      </c>
    </row>
    <row r="144" spans="1:7" x14ac:dyDescent="0.2">
      <c r="A144" t="s">
        <v>929</v>
      </c>
      <c r="B144" t="s">
        <v>378</v>
      </c>
      <c r="C144">
        <v>87467.31</v>
      </c>
      <c r="D144">
        <v>87467.31</v>
      </c>
      <c r="E144">
        <v>0</v>
      </c>
      <c r="F144">
        <v>0</v>
      </c>
      <c r="G144">
        <v>0</v>
      </c>
    </row>
    <row r="145" spans="1:7" x14ac:dyDescent="0.2">
      <c r="A145" t="s">
        <v>855</v>
      </c>
      <c r="B145" t="s">
        <v>856</v>
      </c>
      <c r="C145">
        <v>91736.62</v>
      </c>
      <c r="D145">
        <v>71498.33</v>
      </c>
      <c r="E145">
        <v>10359.040000000001</v>
      </c>
      <c r="F145">
        <v>0</v>
      </c>
      <c r="G145">
        <v>9879.25</v>
      </c>
    </row>
    <row r="146" spans="1:7" x14ac:dyDescent="0.2">
      <c r="A146" t="s">
        <v>137</v>
      </c>
      <c r="B146" t="s">
        <v>24</v>
      </c>
      <c r="C146">
        <v>151457.4</v>
      </c>
      <c r="D146">
        <v>71888.42</v>
      </c>
      <c r="E146">
        <v>6985.67</v>
      </c>
      <c r="F146">
        <v>65600</v>
      </c>
      <c r="G146">
        <v>6983.31</v>
      </c>
    </row>
    <row r="147" spans="1:7" x14ac:dyDescent="0.2">
      <c r="A147" t="s">
        <v>466</v>
      </c>
      <c r="B147" t="s">
        <v>330</v>
      </c>
      <c r="C147">
        <v>107802.06</v>
      </c>
      <c r="D147">
        <v>105927.9</v>
      </c>
      <c r="E147">
        <v>0</v>
      </c>
      <c r="F147">
        <v>0</v>
      </c>
      <c r="G147">
        <v>1874.16</v>
      </c>
    </row>
    <row r="148" spans="1:7" x14ac:dyDescent="0.2">
      <c r="A148" t="s">
        <v>1256</v>
      </c>
      <c r="B148" t="s">
        <v>1257</v>
      </c>
      <c r="C148">
        <v>70845.97</v>
      </c>
      <c r="D148">
        <v>70485.97</v>
      </c>
      <c r="E148">
        <v>0</v>
      </c>
      <c r="F148">
        <v>0</v>
      </c>
      <c r="G148">
        <v>360</v>
      </c>
    </row>
    <row r="149" spans="1:7" x14ac:dyDescent="0.2">
      <c r="A149" t="s">
        <v>718</v>
      </c>
      <c r="B149" t="s">
        <v>433</v>
      </c>
      <c r="C149">
        <v>97512</v>
      </c>
      <c r="D149">
        <v>94132.44</v>
      </c>
      <c r="E149">
        <v>0</v>
      </c>
      <c r="F149">
        <v>0</v>
      </c>
      <c r="G149">
        <v>3379.56</v>
      </c>
    </row>
    <row r="150" spans="1:7" x14ac:dyDescent="0.2">
      <c r="A150" t="s">
        <v>428</v>
      </c>
      <c r="B150" t="s">
        <v>24</v>
      </c>
      <c r="C150">
        <v>109983.81</v>
      </c>
      <c r="D150">
        <v>68911.929999999993</v>
      </c>
      <c r="E150">
        <v>3714.48</v>
      </c>
      <c r="F150">
        <v>31897</v>
      </c>
      <c r="G150">
        <v>5460.4</v>
      </c>
    </row>
    <row r="151" spans="1:7" x14ac:dyDescent="0.2">
      <c r="A151" t="s">
        <v>1318</v>
      </c>
      <c r="B151" t="s">
        <v>1319</v>
      </c>
      <c r="C151">
        <v>68498.73</v>
      </c>
      <c r="D151">
        <v>55491.43</v>
      </c>
      <c r="E151">
        <v>2605.9299999999998</v>
      </c>
      <c r="F151">
        <v>0</v>
      </c>
      <c r="G151">
        <v>10401.370000000001</v>
      </c>
    </row>
    <row r="152" spans="1:7" x14ac:dyDescent="0.2">
      <c r="A152" t="s">
        <v>636</v>
      </c>
      <c r="B152" t="s">
        <v>330</v>
      </c>
      <c r="C152">
        <v>100698.41</v>
      </c>
      <c r="D152">
        <v>99953.21</v>
      </c>
      <c r="E152">
        <v>0</v>
      </c>
      <c r="F152">
        <v>0</v>
      </c>
      <c r="G152">
        <v>745.2</v>
      </c>
    </row>
    <row r="153" spans="1:7" x14ac:dyDescent="0.2">
      <c r="A153" t="s">
        <v>917</v>
      </c>
      <c r="B153" t="s">
        <v>918</v>
      </c>
      <c r="C153">
        <v>88232.5</v>
      </c>
      <c r="D153">
        <v>84032.54</v>
      </c>
      <c r="E153">
        <v>0</v>
      </c>
      <c r="F153">
        <v>0</v>
      </c>
      <c r="G153">
        <v>4199.96</v>
      </c>
    </row>
    <row r="154" spans="1:7" x14ac:dyDescent="0.2">
      <c r="A154" t="s">
        <v>800</v>
      </c>
      <c r="B154" t="s">
        <v>24</v>
      </c>
      <c r="C154">
        <v>94118.03</v>
      </c>
      <c r="D154">
        <v>80966.78</v>
      </c>
      <c r="E154">
        <v>118.07</v>
      </c>
      <c r="F154">
        <v>0</v>
      </c>
      <c r="G154">
        <v>13033.18</v>
      </c>
    </row>
    <row r="155" spans="1:7" x14ac:dyDescent="0.2">
      <c r="A155" t="s">
        <v>1358</v>
      </c>
      <c r="B155" t="s">
        <v>404</v>
      </c>
      <c r="C155">
        <v>66789.710000000006</v>
      </c>
      <c r="D155">
        <v>62086.89</v>
      </c>
      <c r="E155">
        <v>0</v>
      </c>
      <c r="F155">
        <v>0</v>
      </c>
      <c r="G155">
        <v>4702.82</v>
      </c>
    </row>
    <row r="156" spans="1:7" x14ac:dyDescent="0.2">
      <c r="A156" t="s">
        <v>1688</v>
      </c>
      <c r="B156" t="s">
        <v>1134</v>
      </c>
      <c r="C156">
        <v>53436.61</v>
      </c>
      <c r="D156">
        <v>47267.58</v>
      </c>
      <c r="E156">
        <v>2741.14</v>
      </c>
      <c r="F156">
        <v>0</v>
      </c>
      <c r="G156">
        <v>3427.89</v>
      </c>
    </row>
    <row r="157" spans="1:7" x14ac:dyDescent="0.2">
      <c r="A157" t="s">
        <v>50</v>
      </c>
      <c r="B157" t="s">
        <v>51</v>
      </c>
      <c r="C157">
        <v>208394.54</v>
      </c>
      <c r="D157">
        <v>81403.94</v>
      </c>
      <c r="E157">
        <v>79444.62</v>
      </c>
      <c r="F157">
        <v>0</v>
      </c>
      <c r="G157">
        <v>47545.98</v>
      </c>
    </row>
    <row r="158" spans="1:7" x14ac:dyDescent="0.2">
      <c r="A158" t="s">
        <v>1237</v>
      </c>
      <c r="B158" t="s">
        <v>378</v>
      </c>
      <c r="C158">
        <v>71820.259999999995</v>
      </c>
      <c r="D158">
        <v>71778.41</v>
      </c>
      <c r="E158">
        <v>0</v>
      </c>
      <c r="F158">
        <v>0</v>
      </c>
      <c r="G158">
        <v>41.85</v>
      </c>
    </row>
    <row r="159" spans="1:7" x14ac:dyDescent="0.2">
      <c r="A159" t="s">
        <v>732</v>
      </c>
      <c r="B159" t="s">
        <v>378</v>
      </c>
      <c r="C159">
        <v>96656.55</v>
      </c>
      <c r="D159">
        <v>94782.39</v>
      </c>
      <c r="E159">
        <v>0</v>
      </c>
      <c r="F159">
        <v>0</v>
      </c>
      <c r="G159">
        <v>1874.16</v>
      </c>
    </row>
    <row r="160" spans="1:7" x14ac:dyDescent="0.2">
      <c r="A160" t="s">
        <v>572</v>
      </c>
      <c r="B160" t="s">
        <v>378</v>
      </c>
      <c r="C160">
        <v>103483.63</v>
      </c>
      <c r="D160">
        <v>102727.83</v>
      </c>
      <c r="E160">
        <v>0</v>
      </c>
      <c r="F160">
        <v>0</v>
      </c>
      <c r="G160">
        <v>755.8</v>
      </c>
    </row>
    <row r="161" spans="1:7" x14ac:dyDescent="0.2">
      <c r="A161" t="s">
        <v>605</v>
      </c>
      <c r="B161" t="s">
        <v>404</v>
      </c>
      <c r="C161">
        <v>102091.45</v>
      </c>
      <c r="D161">
        <v>101026.83</v>
      </c>
      <c r="E161">
        <v>0</v>
      </c>
      <c r="F161">
        <v>0</v>
      </c>
      <c r="G161">
        <v>1064.6199999999999</v>
      </c>
    </row>
    <row r="162" spans="1:7" x14ac:dyDescent="0.2">
      <c r="A162" t="s">
        <v>1231</v>
      </c>
      <c r="B162" t="s">
        <v>1196</v>
      </c>
      <c r="C162">
        <v>72155.09</v>
      </c>
      <c r="D162">
        <v>69289.06</v>
      </c>
      <c r="E162">
        <v>52.23</v>
      </c>
      <c r="F162">
        <v>0</v>
      </c>
      <c r="G162">
        <v>2813.8</v>
      </c>
    </row>
    <row r="163" spans="1:7" x14ac:dyDescent="0.2">
      <c r="A163" t="s">
        <v>526</v>
      </c>
      <c r="B163" t="s">
        <v>448</v>
      </c>
      <c r="C163">
        <v>105118.27</v>
      </c>
      <c r="D163">
        <v>102127.78</v>
      </c>
      <c r="E163">
        <v>0</v>
      </c>
      <c r="F163">
        <v>0</v>
      </c>
      <c r="G163">
        <v>2990.49</v>
      </c>
    </row>
    <row r="164" spans="1:7" x14ac:dyDescent="0.2">
      <c r="A164" t="s">
        <v>1721</v>
      </c>
      <c r="B164" t="s">
        <v>1709</v>
      </c>
      <c r="C164">
        <v>50971.08</v>
      </c>
      <c r="D164">
        <v>50971.08</v>
      </c>
      <c r="E164">
        <v>0</v>
      </c>
      <c r="F164">
        <v>0</v>
      </c>
      <c r="G164">
        <v>0</v>
      </c>
    </row>
    <row r="165" spans="1:7" x14ac:dyDescent="0.2">
      <c r="A165" t="s">
        <v>971</v>
      </c>
      <c r="B165" t="s">
        <v>317</v>
      </c>
      <c r="C165">
        <v>84508.06</v>
      </c>
      <c r="D165">
        <v>56052.11</v>
      </c>
      <c r="E165">
        <v>12723.64</v>
      </c>
      <c r="F165">
        <v>0</v>
      </c>
      <c r="G165">
        <v>15732.31</v>
      </c>
    </row>
    <row r="166" spans="1:7" x14ac:dyDescent="0.2">
      <c r="A166" t="s">
        <v>545</v>
      </c>
      <c r="B166" t="s">
        <v>433</v>
      </c>
      <c r="C166">
        <v>104661.39</v>
      </c>
      <c r="D166">
        <v>102427.86</v>
      </c>
      <c r="E166">
        <v>0</v>
      </c>
      <c r="F166">
        <v>0</v>
      </c>
      <c r="G166">
        <v>2233.5300000000002</v>
      </c>
    </row>
    <row r="167" spans="1:7" x14ac:dyDescent="0.2">
      <c r="A167" t="s">
        <v>1516</v>
      </c>
      <c r="B167" t="s">
        <v>1324</v>
      </c>
      <c r="C167">
        <v>61199.839999999997</v>
      </c>
      <c r="D167">
        <v>61199.839999999997</v>
      </c>
      <c r="E167">
        <v>0</v>
      </c>
      <c r="F167">
        <v>0</v>
      </c>
      <c r="G167">
        <v>0</v>
      </c>
    </row>
    <row r="168" spans="1:7" x14ac:dyDescent="0.2">
      <c r="A168" t="s">
        <v>1130</v>
      </c>
      <c r="B168" t="s">
        <v>448</v>
      </c>
      <c r="C168">
        <v>77125.94</v>
      </c>
      <c r="D168">
        <v>75566.14</v>
      </c>
      <c r="E168">
        <v>0</v>
      </c>
      <c r="F168">
        <v>0</v>
      </c>
      <c r="G168">
        <v>1559.8</v>
      </c>
    </row>
    <row r="169" spans="1:7" x14ac:dyDescent="0.2">
      <c r="A169" t="s">
        <v>1060</v>
      </c>
      <c r="B169" t="s">
        <v>378</v>
      </c>
      <c r="C169">
        <v>79529.990000000005</v>
      </c>
      <c r="D169">
        <v>75214.990000000005</v>
      </c>
      <c r="E169">
        <v>0</v>
      </c>
      <c r="F169">
        <v>0</v>
      </c>
      <c r="G169">
        <v>4315</v>
      </c>
    </row>
    <row r="170" spans="1:7" x14ac:dyDescent="0.2">
      <c r="A170" t="s">
        <v>315</v>
      </c>
      <c r="B170" t="s">
        <v>130</v>
      </c>
      <c r="C170">
        <v>120660.58</v>
      </c>
      <c r="D170">
        <v>79344.600000000006</v>
      </c>
      <c r="E170">
        <v>12296.33</v>
      </c>
      <c r="F170">
        <v>1242</v>
      </c>
      <c r="G170">
        <v>27777.65</v>
      </c>
    </row>
    <row r="171" spans="1:7" x14ac:dyDescent="0.2">
      <c r="A171" t="s">
        <v>598</v>
      </c>
      <c r="B171" t="s">
        <v>24</v>
      </c>
      <c r="C171">
        <v>102184.12</v>
      </c>
      <c r="D171">
        <v>66323.02</v>
      </c>
      <c r="E171">
        <v>10887.02</v>
      </c>
      <c r="F171">
        <v>19718</v>
      </c>
      <c r="G171">
        <v>5256.08</v>
      </c>
    </row>
    <row r="172" spans="1:7" x14ac:dyDescent="0.2">
      <c r="A172" t="s">
        <v>115</v>
      </c>
      <c r="B172" t="s">
        <v>65</v>
      </c>
      <c r="C172">
        <v>157292.39000000001</v>
      </c>
      <c r="D172">
        <v>96118.25</v>
      </c>
      <c r="E172">
        <v>20791.72</v>
      </c>
      <c r="F172">
        <v>1603</v>
      </c>
      <c r="G172">
        <v>38779.42</v>
      </c>
    </row>
    <row r="173" spans="1:7" x14ac:dyDescent="0.2">
      <c r="A173" t="s">
        <v>449</v>
      </c>
      <c r="B173" t="s">
        <v>378</v>
      </c>
      <c r="C173">
        <v>108515.29</v>
      </c>
      <c r="D173">
        <v>101392.93</v>
      </c>
      <c r="E173">
        <v>0</v>
      </c>
      <c r="F173">
        <v>0</v>
      </c>
      <c r="G173">
        <v>7122.36</v>
      </c>
    </row>
    <row r="174" spans="1:7" x14ac:dyDescent="0.2">
      <c r="A174" t="s">
        <v>1062</v>
      </c>
      <c r="B174" t="s">
        <v>1063</v>
      </c>
      <c r="C174">
        <v>79463.44</v>
      </c>
      <c r="D174">
        <v>76395.44</v>
      </c>
      <c r="E174">
        <v>1068.08</v>
      </c>
      <c r="F174">
        <v>0</v>
      </c>
      <c r="G174">
        <v>1999.92</v>
      </c>
    </row>
    <row r="175" spans="1:7" x14ac:dyDescent="0.2">
      <c r="A175" t="s">
        <v>1575</v>
      </c>
      <c r="B175" t="s">
        <v>1576</v>
      </c>
      <c r="C175">
        <v>58629.16</v>
      </c>
      <c r="D175">
        <v>55797.77</v>
      </c>
      <c r="E175">
        <v>1317.59</v>
      </c>
      <c r="F175">
        <v>0</v>
      </c>
      <c r="G175">
        <v>1513.8</v>
      </c>
    </row>
    <row r="176" spans="1:7" x14ac:dyDescent="0.2">
      <c r="A176" t="s">
        <v>427</v>
      </c>
      <c r="B176" t="s">
        <v>130</v>
      </c>
      <c r="C176">
        <v>110000.44</v>
      </c>
      <c r="D176">
        <v>70291.070000000007</v>
      </c>
      <c r="E176">
        <v>15238.8</v>
      </c>
      <c r="F176">
        <v>4039.5</v>
      </c>
      <c r="G176">
        <v>20431.07</v>
      </c>
    </row>
    <row r="177" spans="1:7" x14ac:dyDescent="0.2">
      <c r="A177" t="s">
        <v>1035</v>
      </c>
      <c r="B177" t="s">
        <v>1036</v>
      </c>
      <c r="C177">
        <v>80603.600000000006</v>
      </c>
      <c r="D177">
        <v>68696.66</v>
      </c>
      <c r="E177">
        <v>941.26</v>
      </c>
      <c r="F177">
        <v>0</v>
      </c>
      <c r="G177">
        <v>10965.68</v>
      </c>
    </row>
    <row r="178" spans="1:7" x14ac:dyDescent="0.2">
      <c r="A178" t="s">
        <v>193</v>
      </c>
      <c r="B178" t="s">
        <v>162</v>
      </c>
      <c r="C178">
        <v>136166.31</v>
      </c>
      <c r="D178">
        <v>60119.15</v>
      </c>
      <c r="E178">
        <v>57106.99</v>
      </c>
      <c r="F178">
        <v>0</v>
      </c>
      <c r="G178">
        <v>18940.169999999998</v>
      </c>
    </row>
    <row r="179" spans="1:7" x14ac:dyDescent="0.2">
      <c r="A179" t="s">
        <v>1018</v>
      </c>
      <c r="B179" t="s">
        <v>433</v>
      </c>
      <c r="C179">
        <v>81681.81</v>
      </c>
      <c r="D179">
        <v>78159.95</v>
      </c>
      <c r="E179">
        <v>0</v>
      </c>
      <c r="F179">
        <v>0</v>
      </c>
      <c r="G179">
        <v>3521.86</v>
      </c>
    </row>
    <row r="180" spans="1:7" x14ac:dyDescent="0.2">
      <c r="A180" t="s">
        <v>1520</v>
      </c>
      <c r="B180" t="s">
        <v>1028</v>
      </c>
      <c r="C180">
        <v>60992.43</v>
      </c>
      <c r="D180">
        <v>53068.38</v>
      </c>
      <c r="E180">
        <v>1457.39</v>
      </c>
      <c r="F180">
        <v>2524.4</v>
      </c>
      <c r="G180">
        <v>3942.26</v>
      </c>
    </row>
    <row r="181" spans="1:7" x14ac:dyDescent="0.2">
      <c r="A181" t="s">
        <v>1346</v>
      </c>
      <c r="B181" t="s">
        <v>687</v>
      </c>
      <c r="C181">
        <v>67271.839999999997</v>
      </c>
      <c r="D181">
        <v>51124.01</v>
      </c>
      <c r="E181">
        <v>150.19999999999999</v>
      </c>
      <c r="F181">
        <v>0</v>
      </c>
      <c r="G181">
        <v>15997.63</v>
      </c>
    </row>
    <row r="182" spans="1:7" x14ac:dyDescent="0.2">
      <c r="A182" t="s">
        <v>625</v>
      </c>
      <c r="B182" t="s">
        <v>378</v>
      </c>
      <c r="C182">
        <v>100941.81</v>
      </c>
      <c r="D182">
        <v>99067.65</v>
      </c>
      <c r="E182">
        <v>0</v>
      </c>
      <c r="F182">
        <v>0</v>
      </c>
      <c r="G182">
        <v>1874.16</v>
      </c>
    </row>
    <row r="183" spans="1:7" x14ac:dyDescent="0.2">
      <c r="A183" t="s">
        <v>1208</v>
      </c>
      <c r="B183" t="s">
        <v>330</v>
      </c>
      <c r="C183">
        <v>73025.87</v>
      </c>
      <c r="D183">
        <v>72164.22</v>
      </c>
      <c r="E183">
        <v>0</v>
      </c>
      <c r="F183">
        <v>0</v>
      </c>
      <c r="G183">
        <v>861.65</v>
      </c>
    </row>
    <row r="184" spans="1:7" x14ac:dyDescent="0.2">
      <c r="A184" t="s">
        <v>1413</v>
      </c>
      <c r="B184" t="s">
        <v>1414</v>
      </c>
      <c r="C184">
        <v>65218.12</v>
      </c>
      <c r="D184">
        <v>64288.12</v>
      </c>
      <c r="E184">
        <v>0</v>
      </c>
      <c r="F184">
        <v>0</v>
      </c>
      <c r="G184">
        <v>930</v>
      </c>
    </row>
    <row r="185" spans="1:7" x14ac:dyDescent="0.2">
      <c r="A185" t="s">
        <v>1555</v>
      </c>
      <c r="B185" t="s">
        <v>378</v>
      </c>
      <c r="C185">
        <v>59498.37</v>
      </c>
      <c r="D185">
        <v>58718.37</v>
      </c>
      <c r="E185">
        <v>0</v>
      </c>
      <c r="F185">
        <v>0</v>
      </c>
      <c r="G185">
        <v>780</v>
      </c>
    </row>
    <row r="186" spans="1:7" x14ac:dyDescent="0.2">
      <c r="A186" t="s">
        <v>932</v>
      </c>
      <c r="B186" t="s">
        <v>519</v>
      </c>
      <c r="C186">
        <v>87325.08</v>
      </c>
      <c r="D186">
        <v>51991.71</v>
      </c>
      <c r="E186">
        <v>22720.77</v>
      </c>
      <c r="F186">
        <v>0</v>
      </c>
      <c r="G186">
        <v>12612.6</v>
      </c>
    </row>
    <row r="187" spans="1:7" x14ac:dyDescent="0.2">
      <c r="A187" t="s">
        <v>752</v>
      </c>
      <c r="B187" t="s">
        <v>378</v>
      </c>
      <c r="C187">
        <v>95838.44</v>
      </c>
      <c r="D187">
        <v>95734.44</v>
      </c>
      <c r="E187">
        <v>0</v>
      </c>
      <c r="F187">
        <v>0</v>
      </c>
      <c r="G187">
        <v>104</v>
      </c>
    </row>
    <row r="188" spans="1:7" x14ac:dyDescent="0.2">
      <c r="A188" t="s">
        <v>262</v>
      </c>
      <c r="B188" t="s">
        <v>24</v>
      </c>
      <c r="C188">
        <v>125024.89</v>
      </c>
      <c r="D188">
        <v>61482.3</v>
      </c>
      <c r="E188">
        <v>2890.01</v>
      </c>
      <c r="F188">
        <v>50958</v>
      </c>
      <c r="G188">
        <v>9694.58</v>
      </c>
    </row>
    <row r="189" spans="1:7" x14ac:dyDescent="0.2">
      <c r="A189" t="s">
        <v>78</v>
      </c>
      <c r="B189" t="s">
        <v>24</v>
      </c>
      <c r="C189">
        <v>183663.64</v>
      </c>
      <c r="D189">
        <v>84750.69</v>
      </c>
      <c r="E189">
        <v>40083.65</v>
      </c>
      <c r="F189">
        <v>52219.5</v>
      </c>
      <c r="G189">
        <v>6609.8</v>
      </c>
    </row>
    <row r="190" spans="1:7" x14ac:dyDescent="0.2">
      <c r="A190" t="s">
        <v>52</v>
      </c>
      <c r="B190" t="s">
        <v>32</v>
      </c>
      <c r="C190">
        <v>208252.31</v>
      </c>
      <c r="D190">
        <v>114385.26</v>
      </c>
      <c r="E190">
        <v>32077.81</v>
      </c>
      <c r="F190">
        <v>48721</v>
      </c>
      <c r="G190">
        <v>13068.24</v>
      </c>
    </row>
    <row r="191" spans="1:7" x14ac:dyDescent="0.2">
      <c r="A191" t="s">
        <v>1545</v>
      </c>
      <c r="B191" t="s">
        <v>1028</v>
      </c>
      <c r="C191">
        <v>59907.34</v>
      </c>
      <c r="D191">
        <v>51466.81</v>
      </c>
      <c r="E191">
        <v>2187.92</v>
      </c>
      <c r="F191">
        <v>2279.31</v>
      </c>
      <c r="G191">
        <v>3973.3</v>
      </c>
    </row>
    <row r="192" spans="1:7" x14ac:dyDescent="0.2">
      <c r="A192" t="s">
        <v>1195</v>
      </c>
      <c r="B192" t="s">
        <v>1196</v>
      </c>
      <c r="C192">
        <v>73864.87</v>
      </c>
      <c r="D192">
        <v>69420.600000000006</v>
      </c>
      <c r="E192">
        <v>1830.47</v>
      </c>
      <c r="F192">
        <v>0</v>
      </c>
      <c r="G192">
        <v>2613.8000000000002</v>
      </c>
    </row>
    <row r="193" spans="1:7" x14ac:dyDescent="0.2">
      <c r="A193" t="s">
        <v>1311</v>
      </c>
      <c r="B193" t="s">
        <v>1312</v>
      </c>
      <c r="C193">
        <v>68817.89</v>
      </c>
      <c r="D193">
        <v>56591.75</v>
      </c>
      <c r="E193">
        <v>1758.28</v>
      </c>
      <c r="F193">
        <v>0</v>
      </c>
      <c r="G193">
        <v>10467.86</v>
      </c>
    </row>
    <row r="194" spans="1:7" x14ac:dyDescent="0.2">
      <c r="A194" t="s">
        <v>359</v>
      </c>
      <c r="B194" t="s">
        <v>283</v>
      </c>
      <c r="C194">
        <v>116450.38</v>
      </c>
      <c r="D194">
        <v>113955.17</v>
      </c>
      <c r="E194">
        <v>0</v>
      </c>
      <c r="F194">
        <v>0</v>
      </c>
      <c r="G194">
        <v>2495.21</v>
      </c>
    </row>
    <row r="195" spans="1:7" x14ac:dyDescent="0.2">
      <c r="A195" t="s">
        <v>1659</v>
      </c>
      <c r="B195" t="s">
        <v>1660</v>
      </c>
      <c r="C195">
        <v>54645.04</v>
      </c>
      <c r="D195">
        <v>44636.75</v>
      </c>
      <c r="E195">
        <v>7821.62</v>
      </c>
      <c r="F195">
        <v>0</v>
      </c>
      <c r="G195">
        <v>2186.67</v>
      </c>
    </row>
    <row r="196" spans="1:7" x14ac:dyDescent="0.2">
      <c r="A196" t="s">
        <v>1639</v>
      </c>
      <c r="B196" t="s">
        <v>1134</v>
      </c>
      <c r="C196">
        <v>55366.05</v>
      </c>
      <c r="D196">
        <v>45692.05</v>
      </c>
      <c r="E196">
        <v>1053.17</v>
      </c>
      <c r="F196">
        <v>0</v>
      </c>
      <c r="G196">
        <v>8620.83</v>
      </c>
    </row>
    <row r="197" spans="1:7" x14ac:dyDescent="0.2">
      <c r="A197" t="s">
        <v>1262</v>
      </c>
      <c r="B197" t="s">
        <v>378</v>
      </c>
      <c r="C197">
        <v>70614.3</v>
      </c>
      <c r="D197">
        <v>70614.3</v>
      </c>
      <c r="E197">
        <v>0</v>
      </c>
      <c r="F197">
        <v>0</v>
      </c>
      <c r="G197">
        <v>0</v>
      </c>
    </row>
    <row r="198" spans="1:7" x14ac:dyDescent="0.2">
      <c r="A198" t="s">
        <v>652</v>
      </c>
      <c r="B198" t="s">
        <v>378</v>
      </c>
      <c r="C198">
        <v>100100.94</v>
      </c>
      <c r="D198">
        <v>97867.41</v>
      </c>
      <c r="E198">
        <v>0</v>
      </c>
      <c r="F198">
        <v>0</v>
      </c>
      <c r="G198">
        <v>2233.5300000000002</v>
      </c>
    </row>
    <row r="199" spans="1:7" x14ac:dyDescent="0.2">
      <c r="A199" t="s">
        <v>889</v>
      </c>
      <c r="B199" t="s">
        <v>404</v>
      </c>
      <c r="C199">
        <v>89502.44</v>
      </c>
      <c r="D199">
        <v>84588.35</v>
      </c>
      <c r="E199">
        <v>0</v>
      </c>
      <c r="F199">
        <v>0</v>
      </c>
      <c r="G199">
        <v>4914.09</v>
      </c>
    </row>
    <row r="200" spans="1:7" x14ac:dyDescent="0.2">
      <c r="A200" t="s">
        <v>1606</v>
      </c>
      <c r="B200" t="s">
        <v>1266</v>
      </c>
      <c r="C200">
        <v>57298.89</v>
      </c>
      <c r="D200">
        <v>49687.8</v>
      </c>
      <c r="E200">
        <v>4972.01</v>
      </c>
      <c r="F200">
        <v>0</v>
      </c>
      <c r="G200">
        <v>2639.08</v>
      </c>
    </row>
    <row r="201" spans="1:7" x14ac:dyDescent="0.2">
      <c r="A201" t="s">
        <v>70</v>
      </c>
      <c r="B201" t="s">
        <v>62</v>
      </c>
      <c r="C201">
        <v>191016.92</v>
      </c>
      <c r="D201">
        <v>190430.25</v>
      </c>
      <c r="E201">
        <v>0</v>
      </c>
      <c r="F201">
        <v>0</v>
      </c>
      <c r="G201">
        <v>586.66999999999996</v>
      </c>
    </row>
    <row r="202" spans="1:7" x14ac:dyDescent="0.2">
      <c r="A202" t="s">
        <v>1124</v>
      </c>
      <c r="B202" t="s">
        <v>1095</v>
      </c>
      <c r="C202">
        <v>77235.59</v>
      </c>
      <c r="D202">
        <v>77235.59</v>
      </c>
      <c r="E202">
        <v>0</v>
      </c>
      <c r="F202">
        <v>0</v>
      </c>
      <c r="G202">
        <v>0</v>
      </c>
    </row>
    <row r="203" spans="1:7" x14ac:dyDescent="0.2">
      <c r="A203" t="s">
        <v>1494</v>
      </c>
      <c r="B203" t="s">
        <v>996</v>
      </c>
      <c r="C203">
        <v>61788.35</v>
      </c>
      <c r="D203">
        <v>61788.35</v>
      </c>
      <c r="E203">
        <v>0</v>
      </c>
      <c r="F203">
        <v>0</v>
      </c>
      <c r="G203">
        <v>0</v>
      </c>
    </row>
    <row r="204" spans="1:7" x14ac:dyDescent="0.2">
      <c r="A204" t="s">
        <v>1418</v>
      </c>
      <c r="B204" t="s">
        <v>1419</v>
      </c>
      <c r="C204">
        <v>64945.93</v>
      </c>
      <c r="D204">
        <v>64945.93</v>
      </c>
      <c r="E204">
        <v>0</v>
      </c>
      <c r="F204">
        <v>0</v>
      </c>
      <c r="G204">
        <v>0</v>
      </c>
    </row>
    <row r="205" spans="1:7" x14ac:dyDescent="0.2">
      <c r="A205" t="s">
        <v>1399</v>
      </c>
      <c r="B205" t="s">
        <v>1400</v>
      </c>
      <c r="C205">
        <v>65607.23</v>
      </c>
      <c r="D205">
        <v>64909.21</v>
      </c>
      <c r="E205">
        <v>0</v>
      </c>
      <c r="F205">
        <v>0</v>
      </c>
      <c r="G205">
        <v>698.02</v>
      </c>
    </row>
    <row r="206" spans="1:7" x14ac:dyDescent="0.2">
      <c r="A206" t="s">
        <v>200</v>
      </c>
      <c r="B206" t="s">
        <v>130</v>
      </c>
      <c r="C206">
        <v>134772.48000000001</v>
      </c>
      <c r="D206">
        <v>79291.48</v>
      </c>
      <c r="E206">
        <v>15696.07</v>
      </c>
      <c r="F206">
        <v>7784.7</v>
      </c>
      <c r="G206">
        <v>32000.23</v>
      </c>
    </row>
    <row r="207" spans="1:7" x14ac:dyDescent="0.2">
      <c r="A207" t="s">
        <v>1507</v>
      </c>
      <c r="B207" t="s">
        <v>1357</v>
      </c>
      <c r="C207">
        <v>61520.84</v>
      </c>
      <c r="D207">
        <v>50576.33</v>
      </c>
      <c r="E207">
        <v>1925.38</v>
      </c>
      <c r="F207">
        <v>0</v>
      </c>
      <c r="G207">
        <v>9019.1299999999992</v>
      </c>
    </row>
    <row r="208" spans="1:7" x14ac:dyDescent="0.2">
      <c r="A208" t="s">
        <v>490</v>
      </c>
      <c r="B208" t="s">
        <v>404</v>
      </c>
      <c r="C208">
        <v>106356.24</v>
      </c>
      <c r="D208">
        <v>104750.79</v>
      </c>
      <c r="E208">
        <v>0</v>
      </c>
      <c r="F208">
        <v>0</v>
      </c>
      <c r="G208">
        <v>1605.45</v>
      </c>
    </row>
    <row r="209" spans="1:7" x14ac:dyDescent="0.2">
      <c r="A209" t="s">
        <v>923</v>
      </c>
      <c r="B209" t="s">
        <v>330</v>
      </c>
      <c r="C209">
        <v>87874.48</v>
      </c>
      <c r="D209">
        <v>87533.54</v>
      </c>
      <c r="E209">
        <v>0</v>
      </c>
      <c r="F209">
        <v>0</v>
      </c>
      <c r="G209">
        <v>340.94</v>
      </c>
    </row>
    <row r="210" spans="1:7" x14ac:dyDescent="0.2">
      <c r="A210" t="s">
        <v>1517</v>
      </c>
      <c r="B210" t="s">
        <v>1134</v>
      </c>
      <c r="C210">
        <v>61107.7</v>
      </c>
      <c r="D210">
        <v>49921.58</v>
      </c>
      <c r="E210">
        <v>3101.08</v>
      </c>
      <c r="F210">
        <v>0</v>
      </c>
      <c r="G210">
        <v>8085.04</v>
      </c>
    </row>
    <row r="211" spans="1:7" x14ac:dyDescent="0.2">
      <c r="A211" t="s">
        <v>1045</v>
      </c>
      <c r="B211" t="s">
        <v>1039</v>
      </c>
      <c r="C211">
        <v>80355.929999999993</v>
      </c>
      <c r="D211">
        <v>80355.929999999993</v>
      </c>
      <c r="E211">
        <v>0</v>
      </c>
      <c r="F211">
        <v>0</v>
      </c>
      <c r="G211">
        <v>0</v>
      </c>
    </row>
    <row r="212" spans="1:7" x14ac:dyDescent="0.2">
      <c r="A212" t="s">
        <v>429</v>
      </c>
      <c r="B212" t="s">
        <v>265</v>
      </c>
      <c r="C212">
        <v>109859.64</v>
      </c>
      <c r="D212">
        <v>108567.49</v>
      </c>
      <c r="E212">
        <v>0</v>
      </c>
      <c r="F212">
        <v>0</v>
      </c>
      <c r="G212">
        <v>1292.1500000000001</v>
      </c>
    </row>
    <row r="213" spans="1:7" x14ac:dyDescent="0.2">
      <c r="A213" t="s">
        <v>247</v>
      </c>
      <c r="B213" t="s">
        <v>130</v>
      </c>
      <c r="C213">
        <v>127182.53</v>
      </c>
      <c r="D213">
        <v>77262.02</v>
      </c>
      <c r="E213">
        <v>16721.189999999999</v>
      </c>
      <c r="F213">
        <v>321</v>
      </c>
      <c r="G213">
        <v>32878.32</v>
      </c>
    </row>
    <row r="214" spans="1:7" x14ac:dyDescent="0.2">
      <c r="A214" t="s">
        <v>890</v>
      </c>
      <c r="B214" t="s">
        <v>891</v>
      </c>
      <c r="C214">
        <v>89284.32</v>
      </c>
      <c r="D214">
        <v>89284.32</v>
      </c>
      <c r="E214">
        <v>0</v>
      </c>
      <c r="F214">
        <v>0</v>
      </c>
      <c r="G214">
        <v>0</v>
      </c>
    </row>
    <row r="215" spans="1:7" x14ac:dyDescent="0.2">
      <c r="A215" t="s">
        <v>1290</v>
      </c>
      <c r="B215" t="s">
        <v>895</v>
      </c>
      <c r="C215">
        <v>69565.3</v>
      </c>
      <c r="D215">
        <v>56498.62</v>
      </c>
      <c r="E215">
        <v>1476.76</v>
      </c>
      <c r="F215">
        <v>0</v>
      </c>
      <c r="G215">
        <v>11589.92</v>
      </c>
    </row>
    <row r="216" spans="1:7" x14ac:dyDescent="0.2">
      <c r="A216" t="s">
        <v>1192</v>
      </c>
      <c r="B216" t="s">
        <v>823</v>
      </c>
      <c r="C216">
        <v>74414.31</v>
      </c>
      <c r="D216">
        <v>47034.21</v>
      </c>
      <c r="E216">
        <v>16620.61</v>
      </c>
      <c r="F216">
        <v>0</v>
      </c>
      <c r="G216">
        <v>10759.49</v>
      </c>
    </row>
    <row r="217" spans="1:7" x14ac:dyDescent="0.2">
      <c r="A217" t="s">
        <v>1014</v>
      </c>
      <c r="B217" t="s">
        <v>1015</v>
      </c>
      <c r="C217">
        <v>81785.67</v>
      </c>
      <c r="D217">
        <v>80355.97</v>
      </c>
      <c r="E217">
        <v>0</v>
      </c>
      <c r="F217">
        <v>0</v>
      </c>
      <c r="G217">
        <v>1429.7</v>
      </c>
    </row>
    <row r="218" spans="1:7" x14ac:dyDescent="0.2">
      <c r="A218" t="s">
        <v>894</v>
      </c>
      <c r="B218" t="s">
        <v>895</v>
      </c>
      <c r="C218">
        <v>89134.84</v>
      </c>
      <c r="D218">
        <v>48724.44</v>
      </c>
      <c r="E218">
        <v>5885.43</v>
      </c>
      <c r="F218">
        <v>0</v>
      </c>
      <c r="G218">
        <v>34524.97</v>
      </c>
    </row>
    <row r="219" spans="1:7" x14ac:dyDescent="0.2">
      <c r="A219" t="s">
        <v>868</v>
      </c>
      <c r="B219" t="s">
        <v>856</v>
      </c>
      <c r="C219">
        <v>91041.46</v>
      </c>
      <c r="D219">
        <v>71630.179999999993</v>
      </c>
      <c r="E219">
        <v>10925.95</v>
      </c>
      <c r="F219">
        <v>0</v>
      </c>
      <c r="G219">
        <v>8485.33</v>
      </c>
    </row>
    <row r="220" spans="1:7" x14ac:dyDescent="0.2">
      <c r="A220" t="s">
        <v>195</v>
      </c>
      <c r="B220" t="s">
        <v>24</v>
      </c>
      <c r="C220">
        <v>135880.99</v>
      </c>
      <c r="D220">
        <v>87714.73</v>
      </c>
      <c r="E220">
        <v>21092.23</v>
      </c>
      <c r="F220">
        <v>19648</v>
      </c>
      <c r="G220">
        <v>7426.03</v>
      </c>
    </row>
    <row r="221" spans="1:7" x14ac:dyDescent="0.2">
      <c r="A221" t="s">
        <v>1193</v>
      </c>
      <c r="B221" t="s">
        <v>378</v>
      </c>
      <c r="C221">
        <v>74266.03</v>
      </c>
      <c r="D221">
        <v>72264.03</v>
      </c>
      <c r="E221">
        <v>0</v>
      </c>
      <c r="F221">
        <v>0</v>
      </c>
      <c r="G221">
        <v>2002</v>
      </c>
    </row>
    <row r="222" spans="1:7" x14ac:dyDescent="0.2">
      <c r="A222" t="s">
        <v>1465</v>
      </c>
      <c r="B222" t="s">
        <v>378</v>
      </c>
      <c r="C222">
        <v>62937.05</v>
      </c>
      <c r="D222">
        <v>62937.05</v>
      </c>
      <c r="E222">
        <v>0</v>
      </c>
      <c r="F222">
        <v>0</v>
      </c>
      <c r="G222">
        <v>0</v>
      </c>
    </row>
    <row r="223" spans="1:7" x14ac:dyDescent="0.2">
      <c r="A223" t="s">
        <v>1372</v>
      </c>
      <c r="B223" t="s">
        <v>448</v>
      </c>
      <c r="C223">
        <v>66319.429999999993</v>
      </c>
      <c r="D223">
        <v>66319.429999999993</v>
      </c>
      <c r="E223">
        <v>0</v>
      </c>
      <c r="F223">
        <v>0</v>
      </c>
      <c r="G223">
        <v>0</v>
      </c>
    </row>
    <row r="224" spans="1:7" x14ac:dyDescent="0.2">
      <c r="A224" t="s">
        <v>475</v>
      </c>
      <c r="B224" t="s">
        <v>378</v>
      </c>
      <c r="C224">
        <v>107163.34</v>
      </c>
      <c r="D224">
        <v>104427.9</v>
      </c>
      <c r="E224">
        <v>0</v>
      </c>
      <c r="F224">
        <v>0</v>
      </c>
      <c r="G224">
        <v>2735.44</v>
      </c>
    </row>
    <row r="225" spans="1:7" x14ac:dyDescent="0.2">
      <c r="A225" t="s">
        <v>586</v>
      </c>
      <c r="B225" t="s">
        <v>404</v>
      </c>
      <c r="C225">
        <v>102694.81</v>
      </c>
      <c r="D225">
        <v>100067.65</v>
      </c>
      <c r="E225">
        <v>0</v>
      </c>
      <c r="F225">
        <v>0</v>
      </c>
      <c r="G225">
        <v>2627.16</v>
      </c>
    </row>
    <row r="226" spans="1:7" x14ac:dyDescent="0.2">
      <c r="A226" t="s">
        <v>248</v>
      </c>
      <c r="B226" t="s">
        <v>34</v>
      </c>
      <c r="C226">
        <v>127079.88</v>
      </c>
      <c r="D226">
        <v>98720.06</v>
      </c>
      <c r="E226">
        <v>1575.61</v>
      </c>
      <c r="F226">
        <v>14681</v>
      </c>
      <c r="G226">
        <v>12103.21</v>
      </c>
    </row>
    <row r="227" spans="1:7" x14ac:dyDescent="0.2">
      <c r="A227" t="s">
        <v>866</v>
      </c>
      <c r="B227" t="s">
        <v>687</v>
      </c>
      <c r="C227">
        <v>91119.61</v>
      </c>
      <c r="D227">
        <v>66582.509999999995</v>
      </c>
      <c r="E227">
        <v>301.76</v>
      </c>
      <c r="F227">
        <v>0</v>
      </c>
      <c r="G227">
        <v>24235.34</v>
      </c>
    </row>
    <row r="228" spans="1:7" x14ac:dyDescent="0.2">
      <c r="A228" t="s">
        <v>1061</v>
      </c>
      <c r="B228" t="s">
        <v>1044</v>
      </c>
      <c r="C228">
        <v>79478.429999999993</v>
      </c>
      <c r="D228">
        <v>78780.41</v>
      </c>
      <c r="E228">
        <v>0</v>
      </c>
      <c r="F228">
        <v>0</v>
      </c>
      <c r="G228">
        <v>698.02</v>
      </c>
    </row>
    <row r="229" spans="1:7" x14ac:dyDescent="0.2">
      <c r="A229" t="s">
        <v>1630</v>
      </c>
      <c r="B229" t="s">
        <v>330</v>
      </c>
      <c r="C229">
        <v>55671.72</v>
      </c>
      <c r="D229">
        <v>54861.72</v>
      </c>
      <c r="E229">
        <v>0</v>
      </c>
      <c r="F229">
        <v>0</v>
      </c>
      <c r="G229">
        <v>810</v>
      </c>
    </row>
    <row r="230" spans="1:7" x14ac:dyDescent="0.2">
      <c r="A230" t="s">
        <v>415</v>
      </c>
      <c r="B230" t="s">
        <v>130</v>
      </c>
      <c r="C230">
        <v>110377.49</v>
      </c>
      <c r="D230">
        <v>80079.460000000006</v>
      </c>
      <c r="E230">
        <v>0</v>
      </c>
      <c r="F230">
        <v>0</v>
      </c>
      <c r="G230">
        <v>30298.03</v>
      </c>
    </row>
    <row r="231" spans="1:7" x14ac:dyDescent="0.2">
      <c r="A231" t="s">
        <v>1348</v>
      </c>
      <c r="B231" t="s">
        <v>1349</v>
      </c>
      <c r="C231">
        <v>67037.55</v>
      </c>
      <c r="D231">
        <v>66937.55</v>
      </c>
      <c r="E231">
        <v>0</v>
      </c>
      <c r="F231">
        <v>0</v>
      </c>
      <c r="G231">
        <v>100</v>
      </c>
    </row>
    <row r="232" spans="1:7" x14ac:dyDescent="0.2">
      <c r="A232" t="s">
        <v>43</v>
      </c>
      <c r="B232" t="s">
        <v>24</v>
      </c>
      <c r="C232">
        <v>216759.15</v>
      </c>
      <c r="D232">
        <v>86858.73</v>
      </c>
      <c r="E232">
        <v>25950.18</v>
      </c>
      <c r="F232">
        <v>93472.75</v>
      </c>
      <c r="G232">
        <v>10477.49</v>
      </c>
    </row>
    <row r="233" spans="1:7" x14ac:dyDescent="0.2">
      <c r="A233" t="s">
        <v>203</v>
      </c>
      <c r="B233" t="s">
        <v>130</v>
      </c>
      <c r="C233">
        <v>134326.24</v>
      </c>
      <c r="D233">
        <v>82191.990000000005</v>
      </c>
      <c r="E233">
        <v>14113.8</v>
      </c>
      <c r="F233">
        <v>4997</v>
      </c>
      <c r="G233">
        <v>33023.449999999997</v>
      </c>
    </row>
    <row r="234" spans="1:7" x14ac:dyDescent="0.2">
      <c r="A234" t="s">
        <v>187</v>
      </c>
      <c r="B234" t="s">
        <v>130</v>
      </c>
      <c r="C234">
        <v>137298.07</v>
      </c>
      <c r="D234">
        <v>79815.03</v>
      </c>
      <c r="E234">
        <v>16098.37</v>
      </c>
      <c r="F234">
        <v>9213</v>
      </c>
      <c r="G234">
        <v>32171.67</v>
      </c>
    </row>
    <row r="235" spans="1:7" x14ac:dyDescent="0.2">
      <c r="A235" t="s">
        <v>397</v>
      </c>
      <c r="B235" t="s">
        <v>130</v>
      </c>
      <c r="C235">
        <v>111596.15</v>
      </c>
      <c r="D235">
        <v>77594.070000000007</v>
      </c>
      <c r="E235">
        <v>1517.89</v>
      </c>
      <c r="F235">
        <v>0</v>
      </c>
      <c r="G235">
        <v>32484.19</v>
      </c>
    </row>
    <row r="236" spans="1:7" x14ac:dyDescent="0.2">
      <c r="A236" t="s">
        <v>762</v>
      </c>
      <c r="B236" t="s">
        <v>433</v>
      </c>
      <c r="C236">
        <v>95521.32</v>
      </c>
      <c r="D236">
        <v>94927.32</v>
      </c>
      <c r="E236">
        <v>0</v>
      </c>
      <c r="F236">
        <v>0</v>
      </c>
      <c r="G236">
        <v>594</v>
      </c>
    </row>
    <row r="237" spans="1:7" x14ac:dyDescent="0.2">
      <c r="A237" t="s">
        <v>675</v>
      </c>
      <c r="B237" t="s">
        <v>24</v>
      </c>
      <c r="C237">
        <v>99050.41</v>
      </c>
      <c r="D237">
        <v>60514.32</v>
      </c>
      <c r="E237">
        <v>14749.83</v>
      </c>
      <c r="F237">
        <v>18834.5</v>
      </c>
      <c r="G237">
        <v>4951.76</v>
      </c>
    </row>
    <row r="238" spans="1:7" x14ac:dyDescent="0.2">
      <c r="A238" t="s">
        <v>405</v>
      </c>
      <c r="B238" t="s">
        <v>378</v>
      </c>
      <c r="C238">
        <v>111148</v>
      </c>
      <c r="D238">
        <v>105656.47</v>
      </c>
      <c r="E238">
        <v>0</v>
      </c>
      <c r="F238">
        <v>0</v>
      </c>
      <c r="G238">
        <v>5491.53</v>
      </c>
    </row>
    <row r="239" spans="1:7" x14ac:dyDescent="0.2">
      <c r="A239" t="s">
        <v>1710</v>
      </c>
      <c r="B239" t="s">
        <v>1558</v>
      </c>
      <c r="C239">
        <v>51964.62</v>
      </c>
      <c r="D239">
        <v>51964.62</v>
      </c>
      <c r="E239">
        <v>0</v>
      </c>
      <c r="F239">
        <v>0</v>
      </c>
      <c r="G239">
        <v>0</v>
      </c>
    </row>
    <row r="240" spans="1:7" x14ac:dyDescent="0.2">
      <c r="A240" t="s">
        <v>1165</v>
      </c>
      <c r="B240" t="s">
        <v>330</v>
      </c>
      <c r="C240">
        <v>76259.95</v>
      </c>
      <c r="D240">
        <v>76259.95</v>
      </c>
      <c r="E240">
        <v>0</v>
      </c>
      <c r="F240">
        <v>0</v>
      </c>
      <c r="G240">
        <v>0</v>
      </c>
    </row>
    <row r="241" spans="1:7" x14ac:dyDescent="0.2">
      <c r="A241" t="s">
        <v>693</v>
      </c>
      <c r="B241" t="s">
        <v>378</v>
      </c>
      <c r="C241">
        <v>98361.43</v>
      </c>
      <c r="D241">
        <v>97182.43</v>
      </c>
      <c r="E241">
        <v>0</v>
      </c>
      <c r="F241">
        <v>0</v>
      </c>
      <c r="G241">
        <v>1179</v>
      </c>
    </row>
    <row r="242" spans="1:7" x14ac:dyDescent="0.2">
      <c r="A242" t="s">
        <v>1443</v>
      </c>
      <c r="B242" t="s">
        <v>106</v>
      </c>
      <c r="C242">
        <v>64000.04</v>
      </c>
      <c r="D242">
        <v>64000.04</v>
      </c>
      <c r="E242">
        <v>0</v>
      </c>
      <c r="F242">
        <v>0</v>
      </c>
      <c r="G242">
        <v>0</v>
      </c>
    </row>
    <row r="243" spans="1:7" x14ac:dyDescent="0.2">
      <c r="A243" t="s">
        <v>1622</v>
      </c>
      <c r="B243" t="s">
        <v>404</v>
      </c>
      <c r="C243">
        <v>55993.45</v>
      </c>
      <c r="D243">
        <v>54844.45</v>
      </c>
      <c r="E243">
        <v>0</v>
      </c>
      <c r="F243">
        <v>0</v>
      </c>
      <c r="G243">
        <v>1149</v>
      </c>
    </row>
    <row r="244" spans="1:7" x14ac:dyDescent="0.2">
      <c r="A244" t="s">
        <v>768</v>
      </c>
      <c r="B244" t="s">
        <v>378</v>
      </c>
      <c r="C244">
        <v>95200.66</v>
      </c>
      <c r="D244">
        <v>92948.5</v>
      </c>
      <c r="E244">
        <v>0</v>
      </c>
      <c r="F244">
        <v>0</v>
      </c>
      <c r="G244">
        <v>2252.16</v>
      </c>
    </row>
    <row r="245" spans="1:7" x14ac:dyDescent="0.2">
      <c r="A245" t="s">
        <v>574</v>
      </c>
      <c r="B245" t="s">
        <v>404</v>
      </c>
      <c r="C245">
        <v>103406.02</v>
      </c>
      <c r="D245">
        <v>101267.13</v>
      </c>
      <c r="E245">
        <v>0</v>
      </c>
      <c r="F245">
        <v>0</v>
      </c>
      <c r="G245">
        <v>2138.89</v>
      </c>
    </row>
    <row r="246" spans="1:7" x14ac:dyDescent="0.2">
      <c r="A246" t="s">
        <v>180</v>
      </c>
      <c r="B246" t="s">
        <v>65</v>
      </c>
      <c r="C246">
        <v>140493.17000000001</v>
      </c>
      <c r="D246">
        <v>100976.95</v>
      </c>
      <c r="E246">
        <v>0</v>
      </c>
      <c r="F246">
        <v>0</v>
      </c>
      <c r="G246">
        <v>39516.22</v>
      </c>
    </row>
    <row r="247" spans="1:7" x14ac:dyDescent="0.2">
      <c r="A247" t="s">
        <v>308</v>
      </c>
      <c r="B247" t="s">
        <v>24</v>
      </c>
      <c r="C247">
        <v>121026.82</v>
      </c>
      <c r="D247">
        <v>71968.33</v>
      </c>
      <c r="E247">
        <v>8855.01</v>
      </c>
      <c r="F247">
        <v>34612</v>
      </c>
      <c r="G247">
        <v>5591.48</v>
      </c>
    </row>
    <row r="248" spans="1:7" x14ac:dyDescent="0.2">
      <c r="A248" t="s">
        <v>819</v>
      </c>
      <c r="B248" t="s">
        <v>24</v>
      </c>
      <c r="C248">
        <v>93085.57</v>
      </c>
      <c r="D248">
        <v>71992.31</v>
      </c>
      <c r="E248">
        <v>5067.04</v>
      </c>
      <c r="F248">
        <v>8631</v>
      </c>
      <c r="G248">
        <v>7395.22</v>
      </c>
    </row>
    <row r="249" spans="1:7" x14ac:dyDescent="0.2">
      <c r="A249" t="s">
        <v>819</v>
      </c>
      <c r="B249" t="s">
        <v>1120</v>
      </c>
      <c r="C249">
        <v>66362.02</v>
      </c>
      <c r="D249">
        <v>58024.41</v>
      </c>
      <c r="E249">
        <v>941.95</v>
      </c>
      <c r="F249">
        <v>1930.44</v>
      </c>
      <c r="G249">
        <v>5465.22</v>
      </c>
    </row>
    <row r="250" spans="1:7" x14ac:dyDescent="0.2">
      <c r="A250" t="s">
        <v>287</v>
      </c>
      <c r="B250" t="s">
        <v>24</v>
      </c>
      <c r="C250">
        <v>122330.54</v>
      </c>
      <c r="D250">
        <v>83129.679999999993</v>
      </c>
      <c r="E250">
        <v>6257.56</v>
      </c>
      <c r="F250">
        <v>26458.5</v>
      </c>
      <c r="G250">
        <v>6484.8</v>
      </c>
    </row>
    <row r="251" spans="1:7" x14ac:dyDescent="0.2">
      <c r="A251" t="s">
        <v>750</v>
      </c>
      <c r="B251" t="s">
        <v>751</v>
      </c>
      <c r="C251">
        <v>95961.43</v>
      </c>
      <c r="D251">
        <v>95454.66</v>
      </c>
      <c r="E251">
        <v>0</v>
      </c>
      <c r="F251">
        <v>0</v>
      </c>
      <c r="G251">
        <v>506.77</v>
      </c>
    </row>
    <row r="252" spans="1:7" x14ac:dyDescent="0.2">
      <c r="A252" t="s">
        <v>817</v>
      </c>
      <c r="B252" t="s">
        <v>130</v>
      </c>
      <c r="C252">
        <v>93275.45</v>
      </c>
      <c r="D252">
        <v>67930.7</v>
      </c>
      <c r="E252">
        <v>8312.1</v>
      </c>
      <c r="F252">
        <v>508</v>
      </c>
      <c r="G252">
        <v>16524.650000000001</v>
      </c>
    </row>
    <row r="253" spans="1:7" x14ac:dyDescent="0.2">
      <c r="A253" t="s">
        <v>377</v>
      </c>
      <c r="B253" t="s">
        <v>378</v>
      </c>
      <c r="C253">
        <v>113204.29</v>
      </c>
      <c r="D253">
        <v>103967.79</v>
      </c>
      <c r="E253">
        <v>0</v>
      </c>
      <c r="F253">
        <v>0</v>
      </c>
      <c r="G253">
        <v>9236.5</v>
      </c>
    </row>
    <row r="254" spans="1:7" x14ac:dyDescent="0.2">
      <c r="A254" t="s">
        <v>1646</v>
      </c>
      <c r="B254" t="s">
        <v>1028</v>
      </c>
      <c r="C254">
        <v>55319.360000000001</v>
      </c>
      <c r="D254">
        <v>48975.8</v>
      </c>
      <c r="E254">
        <v>1627.4</v>
      </c>
      <c r="F254">
        <v>600</v>
      </c>
      <c r="G254">
        <v>4116.16</v>
      </c>
    </row>
    <row r="255" spans="1:7" x14ac:dyDescent="0.2">
      <c r="A255" t="s">
        <v>1707</v>
      </c>
      <c r="B255" t="s">
        <v>1223</v>
      </c>
      <c r="C255">
        <v>52167.62</v>
      </c>
      <c r="D255">
        <v>41620.879999999997</v>
      </c>
      <c r="E255">
        <v>2667.37</v>
      </c>
      <c r="F255">
        <v>0</v>
      </c>
      <c r="G255">
        <v>7879.37</v>
      </c>
    </row>
    <row r="256" spans="1:7" x14ac:dyDescent="0.2">
      <c r="A256" t="s">
        <v>1648</v>
      </c>
      <c r="B256" t="s">
        <v>1134</v>
      </c>
      <c r="C256">
        <v>55232.480000000003</v>
      </c>
      <c r="D256">
        <v>45692.04</v>
      </c>
      <c r="E256">
        <v>1395.15</v>
      </c>
      <c r="F256">
        <v>0</v>
      </c>
      <c r="G256">
        <v>8145.29</v>
      </c>
    </row>
    <row r="257" spans="1:7" x14ac:dyDescent="0.2">
      <c r="A257" t="s">
        <v>1482</v>
      </c>
      <c r="B257" t="s">
        <v>1483</v>
      </c>
      <c r="C257">
        <v>62045.85</v>
      </c>
      <c r="D257">
        <v>55714.89</v>
      </c>
      <c r="E257">
        <v>3119.29</v>
      </c>
      <c r="F257">
        <v>0</v>
      </c>
      <c r="G257">
        <v>3211.67</v>
      </c>
    </row>
    <row r="258" spans="1:7" x14ac:dyDescent="0.2">
      <c r="A258" t="s">
        <v>1261</v>
      </c>
      <c r="B258" t="s">
        <v>687</v>
      </c>
      <c r="C258">
        <v>70690.91</v>
      </c>
      <c r="D258">
        <v>54564.480000000003</v>
      </c>
      <c r="E258">
        <v>43.27</v>
      </c>
      <c r="F258">
        <v>0</v>
      </c>
      <c r="G258">
        <v>16083.16</v>
      </c>
    </row>
    <row r="259" spans="1:7" x14ac:dyDescent="0.2">
      <c r="A259" t="s">
        <v>535</v>
      </c>
      <c r="B259" t="s">
        <v>378</v>
      </c>
      <c r="C259">
        <v>104951.97</v>
      </c>
      <c r="D259">
        <v>103077.81</v>
      </c>
      <c r="E259">
        <v>0</v>
      </c>
      <c r="F259">
        <v>0</v>
      </c>
      <c r="G259">
        <v>1874.16</v>
      </c>
    </row>
    <row r="260" spans="1:7" x14ac:dyDescent="0.2">
      <c r="A260" t="s">
        <v>945</v>
      </c>
      <c r="B260" t="s">
        <v>687</v>
      </c>
      <c r="C260">
        <v>86276.66</v>
      </c>
      <c r="D260">
        <v>61964.17</v>
      </c>
      <c r="E260">
        <v>29.51</v>
      </c>
      <c r="F260">
        <v>0</v>
      </c>
      <c r="G260">
        <v>24282.98</v>
      </c>
    </row>
    <row r="261" spans="1:7" x14ac:dyDescent="0.2">
      <c r="A261" t="s">
        <v>582</v>
      </c>
      <c r="B261" t="s">
        <v>330</v>
      </c>
      <c r="C261">
        <v>102881.78</v>
      </c>
      <c r="D261">
        <v>102127.78</v>
      </c>
      <c r="E261">
        <v>0</v>
      </c>
      <c r="F261">
        <v>0</v>
      </c>
      <c r="G261">
        <v>754</v>
      </c>
    </row>
    <row r="262" spans="1:7" x14ac:dyDescent="0.2">
      <c r="A262" t="s">
        <v>1674</v>
      </c>
      <c r="B262" t="s">
        <v>1223</v>
      </c>
      <c r="C262">
        <v>54096.7</v>
      </c>
      <c r="D262">
        <v>52427.71</v>
      </c>
      <c r="E262">
        <v>97.81</v>
      </c>
      <c r="F262">
        <v>0</v>
      </c>
      <c r="G262">
        <v>1571.18</v>
      </c>
    </row>
    <row r="263" spans="1:7" x14ac:dyDescent="0.2">
      <c r="A263" t="s">
        <v>784</v>
      </c>
      <c r="B263" t="s">
        <v>785</v>
      </c>
      <c r="C263">
        <v>94457.96</v>
      </c>
      <c r="D263">
        <v>94457.96</v>
      </c>
      <c r="E263">
        <v>0</v>
      </c>
      <c r="F263">
        <v>0</v>
      </c>
      <c r="G263">
        <v>0</v>
      </c>
    </row>
    <row r="264" spans="1:7" x14ac:dyDescent="0.2">
      <c r="A264" t="s">
        <v>1211</v>
      </c>
      <c r="B264" t="s">
        <v>404</v>
      </c>
      <c r="C264">
        <v>72958.17</v>
      </c>
      <c r="D264">
        <v>68730.899999999994</v>
      </c>
      <c r="E264">
        <v>0</v>
      </c>
      <c r="F264">
        <v>0</v>
      </c>
      <c r="G264">
        <v>4227.2700000000004</v>
      </c>
    </row>
    <row r="265" spans="1:7" x14ac:dyDescent="0.2">
      <c r="A265" t="s">
        <v>1119</v>
      </c>
      <c r="B265" t="s">
        <v>1120</v>
      </c>
      <c r="C265">
        <v>77433.31</v>
      </c>
      <c r="D265">
        <v>59648.54</v>
      </c>
      <c r="E265">
        <v>10869.36</v>
      </c>
      <c r="F265">
        <v>2158.73</v>
      </c>
      <c r="G265">
        <v>4756.68</v>
      </c>
    </row>
    <row r="266" spans="1:7" x14ac:dyDescent="0.2">
      <c r="A266" t="s">
        <v>1581</v>
      </c>
      <c r="B266" t="s">
        <v>1028</v>
      </c>
      <c r="C266">
        <v>58476.77</v>
      </c>
      <c r="D266">
        <v>53395.81</v>
      </c>
      <c r="E266">
        <v>533.4</v>
      </c>
      <c r="F266">
        <v>1625.9</v>
      </c>
      <c r="G266">
        <v>2921.66</v>
      </c>
    </row>
    <row r="267" spans="1:7" x14ac:dyDescent="0.2">
      <c r="A267" t="s">
        <v>1137</v>
      </c>
      <c r="B267" t="s">
        <v>1138</v>
      </c>
      <c r="C267">
        <v>76806.52</v>
      </c>
      <c r="D267">
        <v>71034.559999999998</v>
      </c>
      <c r="E267">
        <v>4342.26</v>
      </c>
      <c r="F267">
        <v>0</v>
      </c>
      <c r="G267">
        <v>1429.7</v>
      </c>
    </row>
    <row r="268" spans="1:7" x14ac:dyDescent="0.2">
      <c r="A268" t="s">
        <v>1057</v>
      </c>
      <c r="B268" t="s">
        <v>1058</v>
      </c>
      <c r="C268">
        <v>79545.66</v>
      </c>
      <c r="D268">
        <v>79545.66</v>
      </c>
      <c r="E268">
        <v>0</v>
      </c>
      <c r="F268">
        <v>0</v>
      </c>
      <c r="G268">
        <v>0</v>
      </c>
    </row>
    <row r="269" spans="1:7" x14ac:dyDescent="0.2">
      <c r="A269" t="s">
        <v>1047</v>
      </c>
      <c r="B269" t="s">
        <v>404</v>
      </c>
      <c r="C269">
        <v>80061.78</v>
      </c>
      <c r="D269">
        <v>76136.14</v>
      </c>
      <c r="E269">
        <v>0</v>
      </c>
      <c r="F269">
        <v>0</v>
      </c>
      <c r="G269">
        <v>3925.64</v>
      </c>
    </row>
    <row r="270" spans="1:7" x14ac:dyDescent="0.2">
      <c r="A270" t="s">
        <v>897</v>
      </c>
      <c r="B270" t="s">
        <v>130</v>
      </c>
      <c r="C270">
        <v>88975.48</v>
      </c>
      <c r="D270">
        <v>67131.41</v>
      </c>
      <c r="E270">
        <v>6496.47</v>
      </c>
      <c r="F270">
        <v>0</v>
      </c>
      <c r="G270">
        <v>15347.6</v>
      </c>
    </row>
    <row r="271" spans="1:7" x14ac:dyDescent="0.2">
      <c r="A271" t="s">
        <v>504</v>
      </c>
      <c r="B271" t="s">
        <v>505</v>
      </c>
      <c r="C271">
        <v>105866.03</v>
      </c>
      <c r="D271">
        <v>105741.72</v>
      </c>
      <c r="E271">
        <v>0</v>
      </c>
      <c r="F271">
        <v>0</v>
      </c>
      <c r="G271">
        <v>124.31</v>
      </c>
    </row>
    <row r="272" spans="1:7" x14ac:dyDescent="0.2">
      <c r="A272" t="s">
        <v>1259</v>
      </c>
      <c r="B272" t="s">
        <v>1260</v>
      </c>
      <c r="C272">
        <v>70832.84</v>
      </c>
      <c r="D272">
        <v>58796.91</v>
      </c>
      <c r="E272">
        <v>2599.11</v>
      </c>
      <c r="F272">
        <v>0</v>
      </c>
      <c r="G272">
        <v>9436.82</v>
      </c>
    </row>
    <row r="273" spans="1:7" x14ac:dyDescent="0.2">
      <c r="A273" t="s">
        <v>159</v>
      </c>
      <c r="B273" t="s">
        <v>160</v>
      </c>
      <c r="C273">
        <v>144747.76</v>
      </c>
      <c r="D273">
        <v>143449.47</v>
      </c>
      <c r="E273">
        <v>0</v>
      </c>
      <c r="F273">
        <v>0</v>
      </c>
      <c r="G273">
        <v>1298.29</v>
      </c>
    </row>
    <row r="274" spans="1:7" x14ac:dyDescent="0.2">
      <c r="A274" t="s">
        <v>1644</v>
      </c>
      <c r="B274" t="s">
        <v>1645</v>
      </c>
      <c r="C274">
        <v>55335.23</v>
      </c>
      <c r="D274">
        <v>55335.23</v>
      </c>
      <c r="E274">
        <v>0</v>
      </c>
      <c r="F274">
        <v>0</v>
      </c>
      <c r="G274">
        <v>0</v>
      </c>
    </row>
    <row r="275" spans="1:7" x14ac:dyDescent="0.2">
      <c r="A275" t="s">
        <v>319</v>
      </c>
      <c r="B275" t="s">
        <v>130</v>
      </c>
      <c r="C275">
        <v>120375.63</v>
      </c>
      <c r="D275">
        <v>78844.210000000006</v>
      </c>
      <c r="E275">
        <v>10978.6</v>
      </c>
      <c r="F275">
        <v>2417</v>
      </c>
      <c r="G275">
        <v>28135.82</v>
      </c>
    </row>
    <row r="276" spans="1:7" x14ac:dyDescent="0.2">
      <c r="A276" t="s">
        <v>1375</v>
      </c>
      <c r="B276" t="s">
        <v>404</v>
      </c>
      <c r="C276">
        <v>66284.350000000006</v>
      </c>
      <c r="D276">
        <v>65455.35</v>
      </c>
      <c r="E276">
        <v>0</v>
      </c>
      <c r="F276">
        <v>0</v>
      </c>
      <c r="G276">
        <v>829</v>
      </c>
    </row>
    <row r="277" spans="1:7" x14ac:dyDescent="0.2">
      <c r="A277" t="s">
        <v>722</v>
      </c>
      <c r="B277" t="s">
        <v>472</v>
      </c>
      <c r="C277">
        <v>97351.03</v>
      </c>
      <c r="D277">
        <v>50233.85</v>
      </c>
      <c r="E277">
        <v>32857.339999999997</v>
      </c>
      <c r="F277">
        <v>0</v>
      </c>
      <c r="G277">
        <v>14259.84</v>
      </c>
    </row>
    <row r="278" spans="1:7" x14ac:dyDescent="0.2">
      <c r="A278" t="s">
        <v>1731</v>
      </c>
      <c r="B278" t="s">
        <v>317</v>
      </c>
      <c r="C278">
        <v>50470.36</v>
      </c>
      <c r="D278">
        <v>37262.620000000003</v>
      </c>
      <c r="E278">
        <v>2304.66</v>
      </c>
      <c r="F278">
        <v>0</v>
      </c>
      <c r="G278">
        <v>10903.08</v>
      </c>
    </row>
    <row r="279" spans="1:7" x14ac:dyDescent="0.2">
      <c r="A279" t="s">
        <v>379</v>
      </c>
      <c r="B279" t="s">
        <v>380</v>
      </c>
      <c r="C279">
        <v>113137.47</v>
      </c>
      <c r="D279">
        <v>59372.78</v>
      </c>
      <c r="E279">
        <v>45373.73</v>
      </c>
      <c r="F279">
        <v>0</v>
      </c>
      <c r="G279">
        <v>8390.9599999999991</v>
      </c>
    </row>
    <row r="280" spans="1:7" x14ac:dyDescent="0.2">
      <c r="A280" t="s">
        <v>1676</v>
      </c>
      <c r="B280" t="s">
        <v>1525</v>
      </c>
      <c r="C280">
        <v>54019.89</v>
      </c>
      <c r="D280">
        <v>51196.06</v>
      </c>
      <c r="E280">
        <v>0</v>
      </c>
      <c r="F280">
        <v>0</v>
      </c>
      <c r="G280">
        <v>2823.83</v>
      </c>
    </row>
    <row r="281" spans="1:7" x14ac:dyDescent="0.2">
      <c r="A281" t="s">
        <v>907</v>
      </c>
      <c r="B281" t="s">
        <v>830</v>
      </c>
      <c r="C281">
        <v>88671.51</v>
      </c>
      <c r="D281">
        <v>85370.76</v>
      </c>
      <c r="E281">
        <v>0</v>
      </c>
      <c r="F281">
        <v>0</v>
      </c>
      <c r="G281">
        <v>3300.75</v>
      </c>
    </row>
    <row r="282" spans="1:7" x14ac:dyDescent="0.2">
      <c r="A282" t="s">
        <v>261</v>
      </c>
      <c r="B282" t="s">
        <v>130</v>
      </c>
      <c r="C282">
        <v>125071.47</v>
      </c>
      <c r="D282">
        <v>81520.72</v>
      </c>
      <c r="E282">
        <v>10970.15</v>
      </c>
      <c r="F282">
        <v>814</v>
      </c>
      <c r="G282">
        <v>31766.6</v>
      </c>
    </row>
    <row r="283" spans="1:7" x14ac:dyDescent="0.2">
      <c r="A283" t="s">
        <v>1616</v>
      </c>
      <c r="B283" t="s">
        <v>1617</v>
      </c>
      <c r="C283">
        <v>56338.32</v>
      </c>
      <c r="D283">
        <v>52188.13</v>
      </c>
      <c r="E283">
        <v>2833.88</v>
      </c>
      <c r="F283">
        <v>0</v>
      </c>
      <c r="G283">
        <v>1316.31</v>
      </c>
    </row>
    <row r="284" spans="1:7" x14ac:dyDescent="0.2">
      <c r="A284" t="s">
        <v>99</v>
      </c>
      <c r="B284" t="s">
        <v>24</v>
      </c>
      <c r="C284">
        <v>170982.73</v>
      </c>
      <c r="D284">
        <v>70920.37</v>
      </c>
      <c r="E284">
        <v>10626.05</v>
      </c>
      <c r="F284">
        <v>81817</v>
      </c>
      <c r="G284">
        <v>7619.31</v>
      </c>
    </row>
    <row r="285" spans="1:7" x14ac:dyDescent="0.2">
      <c r="A285" t="s">
        <v>1557</v>
      </c>
      <c r="B285" t="s">
        <v>1558</v>
      </c>
      <c r="C285">
        <v>59467.93</v>
      </c>
      <c r="D285">
        <v>56504.13</v>
      </c>
      <c r="E285">
        <v>0</v>
      </c>
      <c r="F285">
        <v>0</v>
      </c>
      <c r="G285">
        <v>2963.8</v>
      </c>
    </row>
    <row r="286" spans="1:7" x14ac:dyDescent="0.2">
      <c r="A286" t="s">
        <v>58</v>
      </c>
      <c r="B286" t="s">
        <v>24</v>
      </c>
      <c r="C286">
        <v>198845.98</v>
      </c>
      <c r="D286">
        <v>67083.53</v>
      </c>
      <c r="E286">
        <v>7428.87</v>
      </c>
      <c r="F286">
        <v>119177.5</v>
      </c>
      <c r="G286">
        <v>5156.08</v>
      </c>
    </row>
    <row r="287" spans="1:7" x14ac:dyDescent="0.2">
      <c r="A287" t="s">
        <v>250</v>
      </c>
      <c r="B287" t="s">
        <v>130</v>
      </c>
      <c r="C287">
        <v>127047.53</v>
      </c>
      <c r="D287">
        <v>77701.509999999995</v>
      </c>
      <c r="E287">
        <v>14682.09</v>
      </c>
      <c r="F287">
        <v>2247.5</v>
      </c>
      <c r="G287">
        <v>32416.43</v>
      </c>
    </row>
    <row r="288" spans="1:7" x14ac:dyDescent="0.2">
      <c r="A288" t="s">
        <v>167</v>
      </c>
      <c r="B288" t="s">
        <v>28</v>
      </c>
      <c r="C288">
        <v>142930.09</v>
      </c>
      <c r="D288">
        <v>21660.78</v>
      </c>
      <c r="E288">
        <v>7409.45</v>
      </c>
      <c r="F288">
        <v>0</v>
      </c>
      <c r="G288">
        <v>113859.86</v>
      </c>
    </row>
    <row r="289" spans="1:7" x14ac:dyDescent="0.2">
      <c r="A289" t="s">
        <v>1110</v>
      </c>
      <c r="B289" t="s">
        <v>1063</v>
      </c>
      <c r="C289">
        <v>77824.45</v>
      </c>
      <c r="D289">
        <v>77824.45</v>
      </c>
      <c r="E289">
        <v>0</v>
      </c>
      <c r="F289">
        <v>0</v>
      </c>
      <c r="G289">
        <v>0</v>
      </c>
    </row>
    <row r="290" spans="1:7" x14ac:dyDescent="0.2">
      <c r="A290" t="s">
        <v>1322</v>
      </c>
      <c r="B290" t="s">
        <v>330</v>
      </c>
      <c r="C290">
        <v>68284.320000000007</v>
      </c>
      <c r="D290">
        <v>68284.320000000007</v>
      </c>
      <c r="E290">
        <v>0</v>
      </c>
      <c r="F290">
        <v>0</v>
      </c>
      <c r="G290">
        <v>0</v>
      </c>
    </row>
    <row r="291" spans="1:7" x14ac:dyDescent="0.2">
      <c r="A291" t="s">
        <v>1032</v>
      </c>
      <c r="B291" t="s">
        <v>378</v>
      </c>
      <c r="C291">
        <v>80774.47</v>
      </c>
      <c r="D291">
        <v>80612.09</v>
      </c>
      <c r="E291">
        <v>0</v>
      </c>
      <c r="F291">
        <v>0</v>
      </c>
      <c r="G291">
        <v>162.38</v>
      </c>
    </row>
    <row r="292" spans="1:7" x14ac:dyDescent="0.2">
      <c r="A292" t="s">
        <v>418</v>
      </c>
      <c r="B292" t="s">
        <v>419</v>
      </c>
      <c r="C292">
        <v>110345.72</v>
      </c>
      <c r="D292">
        <v>110345.72</v>
      </c>
      <c r="E292">
        <v>0</v>
      </c>
      <c r="F292">
        <v>0</v>
      </c>
      <c r="G292">
        <v>0</v>
      </c>
    </row>
    <row r="293" spans="1:7" x14ac:dyDescent="0.2">
      <c r="A293" t="s">
        <v>1185</v>
      </c>
      <c r="B293" t="s">
        <v>106</v>
      </c>
      <c r="C293">
        <v>75228.210000000006</v>
      </c>
      <c r="D293">
        <v>71772.479999999996</v>
      </c>
      <c r="E293">
        <v>0</v>
      </c>
      <c r="F293">
        <v>0</v>
      </c>
      <c r="G293">
        <v>3455.73</v>
      </c>
    </row>
    <row r="294" spans="1:7" x14ac:dyDescent="0.2">
      <c r="A294" t="s">
        <v>525</v>
      </c>
      <c r="B294" t="s">
        <v>378</v>
      </c>
      <c r="C294">
        <v>105141.63</v>
      </c>
      <c r="D294">
        <v>102727.83</v>
      </c>
      <c r="E294">
        <v>0</v>
      </c>
      <c r="F294">
        <v>0</v>
      </c>
      <c r="G294">
        <v>2413.8000000000002</v>
      </c>
    </row>
    <row r="295" spans="1:7" x14ac:dyDescent="0.2">
      <c r="A295" t="s">
        <v>795</v>
      </c>
      <c r="B295" t="s">
        <v>378</v>
      </c>
      <c r="C295">
        <v>94233.15</v>
      </c>
      <c r="D295">
        <v>92317.25</v>
      </c>
      <c r="E295">
        <v>0</v>
      </c>
      <c r="F295">
        <v>0</v>
      </c>
      <c r="G295">
        <v>1915.9</v>
      </c>
    </row>
    <row r="296" spans="1:7" x14ac:dyDescent="0.2">
      <c r="A296" t="s">
        <v>583</v>
      </c>
      <c r="B296" t="s">
        <v>330</v>
      </c>
      <c r="C296">
        <v>102863.96</v>
      </c>
      <c r="D296">
        <v>101155.43</v>
      </c>
      <c r="E296">
        <v>0</v>
      </c>
      <c r="F296">
        <v>0</v>
      </c>
      <c r="G296">
        <v>1708.53</v>
      </c>
    </row>
    <row r="297" spans="1:7" x14ac:dyDescent="0.2">
      <c r="A297" t="s">
        <v>1247</v>
      </c>
      <c r="B297" t="s">
        <v>1248</v>
      </c>
      <c r="C297">
        <v>71149.440000000002</v>
      </c>
      <c r="D297">
        <v>70949.440000000002</v>
      </c>
      <c r="E297">
        <v>0</v>
      </c>
      <c r="F297">
        <v>0</v>
      </c>
      <c r="G297">
        <v>200</v>
      </c>
    </row>
    <row r="298" spans="1:7" x14ac:dyDescent="0.2">
      <c r="A298" t="s">
        <v>789</v>
      </c>
      <c r="B298" t="s">
        <v>330</v>
      </c>
      <c r="C298">
        <v>94353</v>
      </c>
      <c r="D298">
        <v>94245</v>
      </c>
      <c r="E298">
        <v>0</v>
      </c>
      <c r="F298">
        <v>0</v>
      </c>
      <c r="G298">
        <v>108</v>
      </c>
    </row>
    <row r="299" spans="1:7" x14ac:dyDescent="0.2">
      <c r="A299" t="s">
        <v>473</v>
      </c>
      <c r="B299" t="s">
        <v>433</v>
      </c>
      <c r="C299">
        <v>107216.3</v>
      </c>
      <c r="D299">
        <v>100939.49</v>
      </c>
      <c r="E299">
        <v>0</v>
      </c>
      <c r="F299">
        <v>0</v>
      </c>
      <c r="G299">
        <v>6276.81</v>
      </c>
    </row>
    <row r="300" spans="1:7" x14ac:dyDescent="0.2">
      <c r="A300" t="s">
        <v>1013</v>
      </c>
      <c r="B300" t="s">
        <v>166</v>
      </c>
      <c r="C300">
        <v>81827.789999999994</v>
      </c>
      <c r="D300">
        <v>76752.789999999994</v>
      </c>
      <c r="E300">
        <v>0</v>
      </c>
      <c r="F300">
        <v>0</v>
      </c>
      <c r="G300">
        <v>5075</v>
      </c>
    </row>
    <row r="301" spans="1:7" x14ac:dyDescent="0.2">
      <c r="A301" t="s">
        <v>706</v>
      </c>
      <c r="B301" t="s">
        <v>378</v>
      </c>
      <c r="C301">
        <v>97797.01</v>
      </c>
      <c r="D301">
        <v>97635.01</v>
      </c>
      <c r="E301">
        <v>0</v>
      </c>
      <c r="F301">
        <v>0</v>
      </c>
      <c r="G301">
        <v>162</v>
      </c>
    </row>
    <row r="302" spans="1:7" x14ac:dyDescent="0.2">
      <c r="A302" t="s">
        <v>284</v>
      </c>
      <c r="B302" t="s">
        <v>285</v>
      </c>
      <c r="C302">
        <v>122475.26</v>
      </c>
      <c r="D302">
        <v>121807.58</v>
      </c>
      <c r="E302">
        <v>0</v>
      </c>
      <c r="F302">
        <v>0</v>
      </c>
      <c r="G302">
        <v>667.68</v>
      </c>
    </row>
    <row r="303" spans="1:7" x14ac:dyDescent="0.2">
      <c r="A303" t="s">
        <v>1167</v>
      </c>
      <c r="B303" t="s">
        <v>1168</v>
      </c>
      <c r="C303">
        <v>76202.92</v>
      </c>
      <c r="D303">
        <v>74202.94</v>
      </c>
      <c r="E303">
        <v>0</v>
      </c>
      <c r="F303">
        <v>0</v>
      </c>
      <c r="G303">
        <v>1999.98</v>
      </c>
    </row>
    <row r="304" spans="1:7" x14ac:dyDescent="0.2">
      <c r="A304" t="s">
        <v>82</v>
      </c>
      <c r="B304" t="s">
        <v>83</v>
      </c>
      <c r="C304">
        <v>181429.77</v>
      </c>
      <c r="D304">
        <v>180000.07</v>
      </c>
      <c r="E304">
        <v>0</v>
      </c>
      <c r="F304">
        <v>0</v>
      </c>
      <c r="G304">
        <v>1429.7</v>
      </c>
    </row>
    <row r="305" spans="1:7" x14ac:dyDescent="0.2">
      <c r="A305" t="s">
        <v>445</v>
      </c>
      <c r="B305" t="s">
        <v>404</v>
      </c>
      <c r="C305">
        <v>108611.67</v>
      </c>
      <c r="D305">
        <v>102728.85</v>
      </c>
      <c r="E305">
        <v>0</v>
      </c>
      <c r="F305">
        <v>0</v>
      </c>
      <c r="G305">
        <v>5882.82</v>
      </c>
    </row>
    <row r="306" spans="1:7" x14ac:dyDescent="0.2">
      <c r="A306" t="s">
        <v>349</v>
      </c>
      <c r="B306" t="s">
        <v>130</v>
      </c>
      <c r="C306">
        <v>117578.07</v>
      </c>
      <c r="D306">
        <v>77204.320000000007</v>
      </c>
      <c r="E306">
        <v>8053.85</v>
      </c>
      <c r="F306">
        <v>482</v>
      </c>
      <c r="G306">
        <v>31837.9</v>
      </c>
    </row>
    <row r="307" spans="1:7" x14ac:dyDescent="0.2">
      <c r="A307" t="s">
        <v>1718</v>
      </c>
      <c r="B307" t="s">
        <v>1719</v>
      </c>
      <c r="C307">
        <v>51400.58</v>
      </c>
      <c r="D307">
        <v>26758.59</v>
      </c>
      <c r="E307">
        <v>24591.99</v>
      </c>
      <c r="F307">
        <v>0</v>
      </c>
      <c r="G307">
        <v>50</v>
      </c>
    </row>
    <row r="308" spans="1:7" x14ac:dyDescent="0.2">
      <c r="A308" t="s">
        <v>1023</v>
      </c>
      <c r="B308" t="s">
        <v>1024</v>
      </c>
      <c r="C308">
        <v>81283.7</v>
      </c>
      <c r="D308">
        <v>58031.54</v>
      </c>
      <c r="E308">
        <v>8157.21</v>
      </c>
      <c r="F308">
        <v>0</v>
      </c>
      <c r="G308">
        <v>15094.95</v>
      </c>
    </row>
    <row r="309" spans="1:7" x14ac:dyDescent="0.2">
      <c r="A309" t="s">
        <v>205</v>
      </c>
      <c r="B309" t="s">
        <v>24</v>
      </c>
      <c r="C309">
        <v>134100.70000000001</v>
      </c>
      <c r="D309">
        <v>63464.44</v>
      </c>
      <c r="E309">
        <v>12952.68</v>
      </c>
      <c r="F309">
        <v>52552.5</v>
      </c>
      <c r="G309">
        <v>5131.08</v>
      </c>
    </row>
    <row r="310" spans="1:7" x14ac:dyDescent="0.2">
      <c r="A310" t="s">
        <v>1350</v>
      </c>
      <c r="B310" t="s">
        <v>330</v>
      </c>
      <c r="C310">
        <v>67023.22</v>
      </c>
      <c r="D310">
        <v>66146.789999999994</v>
      </c>
      <c r="E310">
        <v>0</v>
      </c>
      <c r="F310">
        <v>0</v>
      </c>
      <c r="G310">
        <v>876.43</v>
      </c>
    </row>
    <row r="311" spans="1:7" x14ac:dyDescent="0.2">
      <c r="A311" t="s">
        <v>936</v>
      </c>
      <c r="B311" t="s">
        <v>448</v>
      </c>
      <c r="C311">
        <v>87019.78</v>
      </c>
      <c r="D311">
        <v>86065.78</v>
      </c>
      <c r="E311">
        <v>0</v>
      </c>
      <c r="F311">
        <v>0</v>
      </c>
      <c r="G311">
        <v>954</v>
      </c>
    </row>
    <row r="312" spans="1:7" x14ac:dyDescent="0.2">
      <c r="A312" t="s">
        <v>1463</v>
      </c>
      <c r="B312" t="s">
        <v>378</v>
      </c>
      <c r="C312">
        <v>63026.400000000001</v>
      </c>
      <c r="D312">
        <v>61931.69</v>
      </c>
      <c r="E312">
        <v>0</v>
      </c>
      <c r="F312">
        <v>0</v>
      </c>
      <c r="G312">
        <v>1094.71</v>
      </c>
    </row>
    <row r="313" spans="1:7" x14ac:dyDescent="0.2">
      <c r="A313" t="s">
        <v>1550</v>
      </c>
      <c r="B313" t="s">
        <v>330</v>
      </c>
      <c r="C313">
        <v>59693.33</v>
      </c>
      <c r="D313">
        <v>59381.34</v>
      </c>
      <c r="E313">
        <v>0</v>
      </c>
      <c r="F313">
        <v>0</v>
      </c>
      <c r="G313">
        <v>311.99</v>
      </c>
    </row>
    <row r="314" spans="1:7" x14ac:dyDescent="0.2">
      <c r="A314" t="s">
        <v>763</v>
      </c>
      <c r="B314" t="s">
        <v>764</v>
      </c>
      <c r="C314">
        <v>95507.15</v>
      </c>
      <c r="D314">
        <v>82666.66</v>
      </c>
      <c r="E314">
        <v>349.78</v>
      </c>
      <c r="F314">
        <v>0</v>
      </c>
      <c r="G314">
        <v>12490.71</v>
      </c>
    </row>
    <row r="315" spans="1:7" x14ac:dyDescent="0.2">
      <c r="A315" t="s">
        <v>1291</v>
      </c>
      <c r="B315" t="s">
        <v>1292</v>
      </c>
      <c r="C315">
        <v>69526.14</v>
      </c>
      <c r="D315">
        <v>68939.47</v>
      </c>
      <c r="E315">
        <v>0</v>
      </c>
      <c r="F315">
        <v>0</v>
      </c>
      <c r="G315">
        <v>586.66999999999996</v>
      </c>
    </row>
    <row r="316" spans="1:7" x14ac:dyDescent="0.2">
      <c r="A316" t="s">
        <v>1202</v>
      </c>
      <c r="B316" t="s">
        <v>1203</v>
      </c>
      <c r="C316">
        <v>73557.5</v>
      </c>
      <c r="D316">
        <v>73557.5</v>
      </c>
      <c r="E316">
        <v>0</v>
      </c>
      <c r="F316">
        <v>0</v>
      </c>
      <c r="G316">
        <v>0</v>
      </c>
    </row>
    <row r="317" spans="1:7" x14ac:dyDescent="0.2">
      <c r="A317" t="s">
        <v>842</v>
      </c>
      <c r="B317" t="s">
        <v>843</v>
      </c>
      <c r="C317">
        <v>92167.55</v>
      </c>
      <c r="D317">
        <v>90363.5</v>
      </c>
      <c r="E317">
        <v>0</v>
      </c>
      <c r="F317">
        <v>0</v>
      </c>
      <c r="G317">
        <v>1804.05</v>
      </c>
    </row>
    <row r="318" spans="1:7" x14ac:dyDescent="0.2">
      <c r="A318" t="s">
        <v>174</v>
      </c>
      <c r="B318" t="s">
        <v>175</v>
      </c>
      <c r="C318">
        <v>141558.95000000001</v>
      </c>
      <c r="D318">
        <v>137179.91</v>
      </c>
      <c r="E318">
        <v>0</v>
      </c>
      <c r="F318">
        <v>0</v>
      </c>
      <c r="G318">
        <v>4379.04</v>
      </c>
    </row>
    <row r="319" spans="1:7" x14ac:dyDescent="0.2">
      <c r="A319" t="s">
        <v>925</v>
      </c>
      <c r="B319" t="s">
        <v>378</v>
      </c>
      <c r="C319">
        <v>87754.13</v>
      </c>
      <c r="D319">
        <v>87313.68</v>
      </c>
      <c r="E319">
        <v>0</v>
      </c>
      <c r="F319">
        <v>0</v>
      </c>
      <c r="G319">
        <v>440.45</v>
      </c>
    </row>
    <row r="320" spans="1:7" x14ac:dyDescent="0.2">
      <c r="A320" t="s">
        <v>908</v>
      </c>
      <c r="B320" t="s">
        <v>909</v>
      </c>
      <c r="C320">
        <v>88556.44</v>
      </c>
      <c r="D320">
        <v>88376.44</v>
      </c>
      <c r="E320">
        <v>0</v>
      </c>
      <c r="F320">
        <v>0</v>
      </c>
      <c r="G320">
        <v>180</v>
      </c>
    </row>
    <row r="321" spans="1:7" x14ac:dyDescent="0.2">
      <c r="A321" t="s">
        <v>410</v>
      </c>
      <c r="B321" t="s">
        <v>130</v>
      </c>
      <c r="C321">
        <v>110796.45</v>
      </c>
      <c r="D321">
        <v>80393.47</v>
      </c>
      <c r="E321">
        <v>0</v>
      </c>
      <c r="F321">
        <v>0</v>
      </c>
      <c r="G321">
        <v>30402.98</v>
      </c>
    </row>
    <row r="322" spans="1:7" x14ac:dyDescent="0.2">
      <c r="A322" t="s">
        <v>1407</v>
      </c>
      <c r="B322" t="s">
        <v>378</v>
      </c>
      <c r="C322">
        <v>65310.98</v>
      </c>
      <c r="D322">
        <v>64608.98</v>
      </c>
      <c r="E322">
        <v>0</v>
      </c>
      <c r="F322">
        <v>0</v>
      </c>
      <c r="G322">
        <v>702</v>
      </c>
    </row>
    <row r="323" spans="1:7" x14ac:dyDescent="0.2">
      <c r="A323" t="s">
        <v>1116</v>
      </c>
      <c r="B323" t="s">
        <v>404</v>
      </c>
      <c r="C323">
        <v>77547.360000000001</v>
      </c>
      <c r="D323">
        <v>62944.68</v>
      </c>
      <c r="E323">
        <v>0</v>
      </c>
      <c r="F323">
        <v>0</v>
      </c>
      <c r="G323">
        <v>14602.68</v>
      </c>
    </row>
    <row r="324" spans="1:7" x14ac:dyDescent="0.2">
      <c r="A324" t="s">
        <v>1456</v>
      </c>
      <c r="B324" t="s">
        <v>1319</v>
      </c>
      <c r="C324">
        <v>63391.63</v>
      </c>
      <c r="D324">
        <v>51525.04</v>
      </c>
      <c r="E324">
        <v>4994.59</v>
      </c>
      <c r="F324">
        <v>0</v>
      </c>
      <c r="G324">
        <v>6872</v>
      </c>
    </row>
    <row r="325" spans="1:7" x14ac:dyDescent="0.2">
      <c r="A325" t="s">
        <v>1593</v>
      </c>
      <c r="B325" t="s">
        <v>1576</v>
      </c>
      <c r="C325">
        <v>58015.72</v>
      </c>
      <c r="D325">
        <v>54817.52</v>
      </c>
      <c r="E325">
        <v>1470.38</v>
      </c>
      <c r="F325">
        <v>0</v>
      </c>
      <c r="G325">
        <v>1727.82</v>
      </c>
    </row>
    <row r="326" spans="1:7" x14ac:dyDescent="0.2">
      <c r="A326" t="s">
        <v>1315</v>
      </c>
      <c r="B326" t="s">
        <v>687</v>
      </c>
      <c r="C326">
        <v>68793.259999999995</v>
      </c>
      <c r="D326">
        <v>57618.62</v>
      </c>
      <c r="E326">
        <v>463.89</v>
      </c>
      <c r="F326">
        <v>0</v>
      </c>
      <c r="G326">
        <v>10710.75</v>
      </c>
    </row>
    <row r="327" spans="1:7" x14ac:dyDescent="0.2">
      <c r="A327" t="s">
        <v>1702</v>
      </c>
      <c r="B327" t="s">
        <v>1617</v>
      </c>
      <c r="C327">
        <v>52388.07</v>
      </c>
      <c r="D327">
        <v>50161.14</v>
      </c>
      <c r="E327">
        <v>1640.26</v>
      </c>
      <c r="F327">
        <v>0</v>
      </c>
      <c r="G327">
        <v>586.66999999999996</v>
      </c>
    </row>
    <row r="328" spans="1:7" x14ac:dyDescent="0.2">
      <c r="A328" t="s">
        <v>1313</v>
      </c>
      <c r="B328" t="s">
        <v>1314</v>
      </c>
      <c r="C328">
        <v>68809</v>
      </c>
      <c r="D328">
        <v>0</v>
      </c>
      <c r="E328">
        <v>0</v>
      </c>
      <c r="F328">
        <v>0</v>
      </c>
      <c r="G328">
        <v>68809</v>
      </c>
    </row>
    <row r="329" spans="1:7" x14ac:dyDescent="0.2">
      <c r="A329" t="s">
        <v>1194</v>
      </c>
      <c r="B329" t="s">
        <v>330</v>
      </c>
      <c r="C329">
        <v>74045.48</v>
      </c>
      <c r="D329">
        <v>72216.479999999996</v>
      </c>
      <c r="E329">
        <v>0</v>
      </c>
      <c r="F329">
        <v>0</v>
      </c>
      <c r="G329">
        <v>1829</v>
      </c>
    </row>
    <row r="330" spans="1:7" x14ac:dyDescent="0.2">
      <c r="A330" t="s">
        <v>1325</v>
      </c>
      <c r="B330" t="s">
        <v>378</v>
      </c>
      <c r="C330">
        <v>68123.31</v>
      </c>
      <c r="D330">
        <v>66233.22</v>
      </c>
      <c r="E330">
        <v>0</v>
      </c>
      <c r="F330">
        <v>0</v>
      </c>
      <c r="G330">
        <v>1890.09</v>
      </c>
    </row>
    <row r="331" spans="1:7" x14ac:dyDescent="0.2">
      <c r="A331" t="s">
        <v>579</v>
      </c>
      <c r="B331" t="s">
        <v>378</v>
      </c>
      <c r="C331">
        <v>103029.6</v>
      </c>
      <c r="D331">
        <v>101155.44</v>
      </c>
      <c r="E331">
        <v>0</v>
      </c>
      <c r="F331">
        <v>0</v>
      </c>
      <c r="G331">
        <v>1874.16</v>
      </c>
    </row>
    <row r="332" spans="1:7" x14ac:dyDescent="0.2">
      <c r="A332" t="s">
        <v>1082</v>
      </c>
      <c r="B332" t="s">
        <v>1083</v>
      </c>
      <c r="C332">
        <v>78880.41</v>
      </c>
      <c r="D332">
        <v>78780.41</v>
      </c>
      <c r="E332">
        <v>0</v>
      </c>
      <c r="F332">
        <v>0</v>
      </c>
      <c r="G332">
        <v>100</v>
      </c>
    </row>
    <row r="333" spans="1:7" x14ac:dyDescent="0.2">
      <c r="A333" t="s">
        <v>1220</v>
      </c>
      <c r="B333" t="s">
        <v>380</v>
      </c>
      <c r="C333">
        <v>72500.259999999995</v>
      </c>
      <c r="D333">
        <v>56922.7</v>
      </c>
      <c r="E333">
        <v>7777.21</v>
      </c>
      <c r="F333">
        <v>0</v>
      </c>
      <c r="G333">
        <v>7800.35</v>
      </c>
    </row>
    <row r="334" spans="1:7" x14ac:dyDescent="0.2">
      <c r="A334" t="s">
        <v>992</v>
      </c>
      <c r="B334" t="s">
        <v>993</v>
      </c>
      <c r="C334">
        <v>82807.8</v>
      </c>
      <c r="D334">
        <v>59631.22</v>
      </c>
      <c r="E334">
        <v>0</v>
      </c>
      <c r="F334">
        <v>0</v>
      </c>
      <c r="G334">
        <v>23176.58</v>
      </c>
    </row>
    <row r="335" spans="1:7" x14ac:dyDescent="0.2">
      <c r="A335" t="s">
        <v>672</v>
      </c>
      <c r="B335" t="s">
        <v>378</v>
      </c>
      <c r="C335">
        <v>99215.01</v>
      </c>
      <c r="D335">
        <v>97753.3</v>
      </c>
      <c r="E335">
        <v>0</v>
      </c>
      <c r="F335">
        <v>0</v>
      </c>
      <c r="G335">
        <v>1461.71</v>
      </c>
    </row>
    <row r="336" spans="1:7" x14ac:dyDescent="0.2">
      <c r="A336" t="s">
        <v>723</v>
      </c>
      <c r="B336" t="s">
        <v>724</v>
      </c>
      <c r="C336">
        <v>97350.24</v>
      </c>
      <c r="D336">
        <v>92562.45</v>
      </c>
      <c r="E336">
        <v>235.33</v>
      </c>
      <c r="F336">
        <v>0</v>
      </c>
      <c r="G336">
        <v>4552.46</v>
      </c>
    </row>
    <row r="337" spans="1:7" x14ac:dyDescent="0.2">
      <c r="A337" t="s">
        <v>741</v>
      </c>
      <c r="B337" t="s">
        <v>330</v>
      </c>
      <c r="C337">
        <v>96356.67</v>
      </c>
      <c r="D337">
        <v>94482.51</v>
      </c>
      <c r="E337">
        <v>0</v>
      </c>
      <c r="F337">
        <v>0</v>
      </c>
      <c r="G337">
        <v>1874.16</v>
      </c>
    </row>
    <row r="338" spans="1:7" x14ac:dyDescent="0.2">
      <c r="A338" t="s">
        <v>354</v>
      </c>
      <c r="B338" t="s">
        <v>355</v>
      </c>
      <c r="C338">
        <v>116666.99</v>
      </c>
      <c r="D338">
        <v>116666.99</v>
      </c>
      <c r="E338">
        <v>0</v>
      </c>
      <c r="F338">
        <v>0</v>
      </c>
      <c r="G338">
        <v>0</v>
      </c>
    </row>
    <row r="339" spans="1:7" x14ac:dyDescent="0.2">
      <c r="A339" t="s">
        <v>1586</v>
      </c>
      <c r="B339" t="s">
        <v>1492</v>
      </c>
      <c r="C339">
        <v>58263.199999999997</v>
      </c>
      <c r="D339">
        <v>58013.2</v>
      </c>
      <c r="E339">
        <v>0</v>
      </c>
      <c r="F339">
        <v>0</v>
      </c>
      <c r="G339">
        <v>250</v>
      </c>
    </row>
    <row r="340" spans="1:7" x14ac:dyDescent="0.2">
      <c r="A340" t="s">
        <v>434</v>
      </c>
      <c r="B340" t="s">
        <v>404</v>
      </c>
      <c r="C340">
        <v>109547.76</v>
      </c>
      <c r="D340">
        <v>94032.46</v>
      </c>
      <c r="E340">
        <v>0</v>
      </c>
      <c r="F340">
        <v>0</v>
      </c>
      <c r="G340">
        <v>15515.3</v>
      </c>
    </row>
    <row r="341" spans="1:7" x14ac:dyDescent="0.2">
      <c r="A341" t="s">
        <v>531</v>
      </c>
      <c r="B341" t="s">
        <v>330</v>
      </c>
      <c r="C341">
        <v>105049.83</v>
      </c>
      <c r="D341">
        <v>104327.83</v>
      </c>
      <c r="E341">
        <v>0</v>
      </c>
      <c r="F341">
        <v>0</v>
      </c>
      <c r="G341">
        <v>722</v>
      </c>
    </row>
    <row r="342" spans="1:7" x14ac:dyDescent="0.2">
      <c r="A342" t="s">
        <v>37</v>
      </c>
      <c r="B342" t="s">
        <v>32</v>
      </c>
      <c r="C342">
        <v>220726.14</v>
      </c>
      <c r="D342">
        <v>134455.32999999999</v>
      </c>
      <c r="E342">
        <v>27922.95</v>
      </c>
      <c r="F342">
        <v>46993</v>
      </c>
      <c r="G342">
        <v>11354.86</v>
      </c>
    </row>
    <row r="343" spans="1:7" x14ac:dyDescent="0.2">
      <c r="A343" t="s">
        <v>949</v>
      </c>
      <c r="B343" t="s">
        <v>950</v>
      </c>
      <c r="C343">
        <v>85844.05</v>
      </c>
      <c r="D343">
        <v>84414.35</v>
      </c>
      <c r="E343">
        <v>0</v>
      </c>
      <c r="F343">
        <v>0</v>
      </c>
      <c r="G343">
        <v>1429.7</v>
      </c>
    </row>
    <row r="344" spans="1:7" x14ac:dyDescent="0.2">
      <c r="A344" t="s">
        <v>144</v>
      </c>
      <c r="B344" t="s">
        <v>145</v>
      </c>
      <c r="C344">
        <v>149011.93</v>
      </c>
      <c r="D344">
        <v>140851.9</v>
      </c>
      <c r="E344">
        <v>0</v>
      </c>
      <c r="F344">
        <v>0</v>
      </c>
      <c r="G344">
        <v>8160.03</v>
      </c>
    </row>
    <row r="345" spans="1:7" x14ac:dyDescent="0.2">
      <c r="A345" t="s">
        <v>1114</v>
      </c>
      <c r="B345" t="s">
        <v>1115</v>
      </c>
      <c r="C345">
        <v>77582.87</v>
      </c>
      <c r="D345">
        <v>77582.87</v>
      </c>
      <c r="E345">
        <v>0</v>
      </c>
      <c r="F345">
        <v>0</v>
      </c>
      <c r="G345">
        <v>0</v>
      </c>
    </row>
    <row r="346" spans="1:7" x14ac:dyDescent="0.2">
      <c r="A346" t="s">
        <v>1216</v>
      </c>
      <c r="B346" t="s">
        <v>519</v>
      </c>
      <c r="C346">
        <v>72655.740000000005</v>
      </c>
      <c r="D346">
        <v>51307.37</v>
      </c>
      <c r="E346">
        <v>7749.55</v>
      </c>
      <c r="F346">
        <v>0</v>
      </c>
      <c r="G346">
        <v>13598.82</v>
      </c>
    </row>
    <row r="347" spans="1:7" x14ac:dyDescent="0.2">
      <c r="A347" t="s">
        <v>1603</v>
      </c>
      <c r="B347" t="s">
        <v>1604</v>
      </c>
      <c r="C347">
        <v>57503.42</v>
      </c>
      <c r="D347">
        <v>41537.550000000003</v>
      </c>
      <c r="E347">
        <v>0</v>
      </c>
      <c r="F347">
        <v>0</v>
      </c>
      <c r="G347">
        <v>15965.87</v>
      </c>
    </row>
    <row r="348" spans="1:7" x14ac:dyDescent="0.2">
      <c r="A348" t="s">
        <v>683</v>
      </c>
      <c r="B348" t="s">
        <v>684</v>
      </c>
      <c r="C348">
        <v>98854.7</v>
      </c>
      <c r="D348">
        <v>94536.41</v>
      </c>
      <c r="E348">
        <v>0</v>
      </c>
      <c r="F348">
        <v>0</v>
      </c>
      <c r="G348">
        <v>4318.29</v>
      </c>
    </row>
    <row r="349" spans="1:7" x14ac:dyDescent="0.2">
      <c r="A349" t="s">
        <v>1113</v>
      </c>
      <c r="B349" t="s">
        <v>380</v>
      </c>
      <c r="C349">
        <v>77621.179999999993</v>
      </c>
      <c r="D349">
        <v>58519.02</v>
      </c>
      <c r="E349">
        <v>11794.84</v>
      </c>
      <c r="F349">
        <v>0</v>
      </c>
      <c r="G349">
        <v>7307.32</v>
      </c>
    </row>
    <row r="350" spans="1:7" x14ac:dyDescent="0.2">
      <c r="A350" t="s">
        <v>1111</v>
      </c>
      <c r="B350" t="s">
        <v>378</v>
      </c>
      <c r="C350">
        <v>77812.55</v>
      </c>
      <c r="D350">
        <v>76426.48</v>
      </c>
      <c r="E350">
        <v>0</v>
      </c>
      <c r="F350">
        <v>0</v>
      </c>
      <c r="G350">
        <v>1386.07</v>
      </c>
    </row>
    <row r="351" spans="1:7" x14ac:dyDescent="0.2">
      <c r="A351" t="s">
        <v>306</v>
      </c>
      <c r="B351" t="s">
        <v>24</v>
      </c>
      <c r="C351">
        <v>121347.47</v>
      </c>
      <c r="D351">
        <v>71513.87</v>
      </c>
      <c r="E351">
        <v>10879.12</v>
      </c>
      <c r="F351">
        <v>33363</v>
      </c>
      <c r="G351">
        <v>5591.48</v>
      </c>
    </row>
    <row r="352" spans="1:7" x14ac:dyDescent="0.2">
      <c r="A352" t="s">
        <v>76</v>
      </c>
      <c r="B352" t="s">
        <v>69</v>
      </c>
      <c r="C352">
        <v>183864.72</v>
      </c>
      <c r="D352">
        <v>83748.509999999995</v>
      </c>
      <c r="E352">
        <v>69136.44</v>
      </c>
      <c r="F352">
        <v>0</v>
      </c>
      <c r="G352">
        <v>30979.77</v>
      </c>
    </row>
    <row r="353" spans="1:7" x14ac:dyDescent="0.2">
      <c r="A353" t="s">
        <v>1278</v>
      </c>
      <c r="B353" t="s">
        <v>1024</v>
      </c>
      <c r="C353">
        <v>69820.479999999996</v>
      </c>
      <c r="D353">
        <v>59131.02</v>
      </c>
      <c r="E353">
        <v>2212.6999999999998</v>
      </c>
      <c r="F353">
        <v>0</v>
      </c>
      <c r="G353">
        <v>8476.76</v>
      </c>
    </row>
    <row r="354" spans="1:7" x14ac:dyDescent="0.2">
      <c r="A354" t="s">
        <v>814</v>
      </c>
      <c r="B354" t="s">
        <v>317</v>
      </c>
      <c r="C354">
        <v>93345.61</v>
      </c>
      <c r="D354">
        <v>58604.62</v>
      </c>
      <c r="E354">
        <v>21309.43</v>
      </c>
      <c r="F354">
        <v>0</v>
      </c>
      <c r="G354">
        <v>13431.56</v>
      </c>
    </row>
    <row r="355" spans="1:7" x14ac:dyDescent="0.2">
      <c r="A355" t="s">
        <v>1602</v>
      </c>
      <c r="B355" t="s">
        <v>330</v>
      </c>
      <c r="C355">
        <v>57563.3</v>
      </c>
      <c r="D355">
        <v>57262.68</v>
      </c>
      <c r="E355">
        <v>0</v>
      </c>
      <c r="F355">
        <v>0</v>
      </c>
      <c r="G355">
        <v>300.62</v>
      </c>
    </row>
    <row r="356" spans="1:7" x14ac:dyDescent="0.2">
      <c r="A356" t="s">
        <v>1730</v>
      </c>
      <c r="B356" t="s">
        <v>1223</v>
      </c>
      <c r="C356">
        <v>50548.47</v>
      </c>
      <c r="D356">
        <v>47215.03</v>
      </c>
      <c r="E356">
        <v>0</v>
      </c>
      <c r="F356">
        <v>0</v>
      </c>
      <c r="G356">
        <v>3333.44</v>
      </c>
    </row>
    <row r="357" spans="1:7" x14ac:dyDescent="0.2">
      <c r="A357" t="s">
        <v>320</v>
      </c>
      <c r="B357" t="s">
        <v>321</v>
      </c>
      <c r="C357">
        <v>120343.62</v>
      </c>
      <c r="D357">
        <v>88456.31</v>
      </c>
      <c r="E357">
        <v>8225.51</v>
      </c>
      <c r="F357">
        <v>0</v>
      </c>
      <c r="G357">
        <v>23661.8</v>
      </c>
    </row>
    <row r="358" spans="1:7" x14ac:dyDescent="0.2">
      <c r="A358" t="s">
        <v>688</v>
      </c>
      <c r="B358" t="s">
        <v>330</v>
      </c>
      <c r="C358">
        <v>98711.31</v>
      </c>
      <c r="D358">
        <v>98711.31</v>
      </c>
      <c r="E358">
        <v>0</v>
      </c>
      <c r="F358">
        <v>0</v>
      </c>
      <c r="G358">
        <v>0</v>
      </c>
    </row>
    <row r="359" spans="1:7" x14ac:dyDescent="0.2">
      <c r="A359" t="s">
        <v>1552</v>
      </c>
      <c r="B359" t="s">
        <v>404</v>
      </c>
      <c r="C359">
        <v>59560.17</v>
      </c>
      <c r="D359">
        <v>57320.67</v>
      </c>
      <c r="E359">
        <v>0</v>
      </c>
      <c r="F359">
        <v>0</v>
      </c>
      <c r="G359">
        <v>2239.5</v>
      </c>
    </row>
    <row r="360" spans="1:7" x14ac:dyDescent="0.2">
      <c r="A360" t="s">
        <v>272</v>
      </c>
      <c r="B360" t="s">
        <v>24</v>
      </c>
      <c r="C360">
        <v>123996.34</v>
      </c>
      <c r="D360">
        <v>84751.13</v>
      </c>
      <c r="E360">
        <v>20661.71</v>
      </c>
      <c r="F360">
        <v>10544</v>
      </c>
      <c r="G360">
        <v>8039.5</v>
      </c>
    </row>
    <row r="361" spans="1:7" x14ac:dyDescent="0.2">
      <c r="A361" t="s">
        <v>316</v>
      </c>
      <c r="B361" t="s">
        <v>317</v>
      </c>
      <c r="C361">
        <v>120641.48</v>
      </c>
      <c r="D361">
        <v>61817.46</v>
      </c>
      <c r="E361">
        <v>42202.83</v>
      </c>
      <c r="F361">
        <v>0</v>
      </c>
      <c r="G361">
        <v>16621.189999999999</v>
      </c>
    </row>
    <row r="362" spans="1:7" x14ac:dyDescent="0.2">
      <c r="A362" t="s">
        <v>1590</v>
      </c>
      <c r="B362" t="s">
        <v>1558</v>
      </c>
      <c r="C362">
        <v>58196.9</v>
      </c>
      <c r="D362">
        <v>56646.3</v>
      </c>
      <c r="E362">
        <v>450.6</v>
      </c>
      <c r="F362">
        <v>0</v>
      </c>
      <c r="G362">
        <v>1100</v>
      </c>
    </row>
    <row r="363" spans="1:7" x14ac:dyDescent="0.2">
      <c r="A363" t="s">
        <v>1396</v>
      </c>
      <c r="B363" t="s">
        <v>1028</v>
      </c>
      <c r="C363">
        <v>65660.710000000006</v>
      </c>
      <c r="D363">
        <v>52022.47</v>
      </c>
      <c r="E363">
        <v>2900.03</v>
      </c>
      <c r="F363">
        <v>7038.13</v>
      </c>
      <c r="G363">
        <v>3700.08</v>
      </c>
    </row>
    <row r="364" spans="1:7" x14ac:dyDescent="0.2">
      <c r="A364" t="s">
        <v>521</v>
      </c>
      <c r="B364" t="s">
        <v>330</v>
      </c>
      <c r="C364">
        <v>105263.98</v>
      </c>
      <c r="D364">
        <v>103227.82</v>
      </c>
      <c r="E364">
        <v>0</v>
      </c>
      <c r="F364">
        <v>0</v>
      </c>
      <c r="G364">
        <v>2036.16</v>
      </c>
    </row>
    <row r="365" spans="1:7" x14ac:dyDescent="0.2">
      <c r="A365" t="s">
        <v>80</v>
      </c>
      <c r="B365" t="s">
        <v>32</v>
      </c>
      <c r="C365">
        <v>182111.94</v>
      </c>
      <c r="D365">
        <v>134603.34</v>
      </c>
      <c r="E365">
        <v>20368.439999999999</v>
      </c>
      <c r="F365">
        <v>17115</v>
      </c>
      <c r="G365">
        <v>10025.16</v>
      </c>
    </row>
    <row r="366" spans="1:7" x14ac:dyDescent="0.2">
      <c r="A366" t="s">
        <v>626</v>
      </c>
      <c r="B366" t="s">
        <v>519</v>
      </c>
      <c r="C366">
        <v>100924.21</v>
      </c>
      <c r="D366">
        <v>54512.85</v>
      </c>
      <c r="E366">
        <v>33396.42</v>
      </c>
      <c r="F366">
        <v>0</v>
      </c>
      <c r="G366">
        <v>13014.94</v>
      </c>
    </row>
    <row r="367" spans="1:7" x14ac:dyDescent="0.2">
      <c r="A367" t="s">
        <v>425</v>
      </c>
      <c r="B367" t="s">
        <v>330</v>
      </c>
      <c r="C367">
        <v>110019.38</v>
      </c>
      <c r="D367">
        <v>107135.85</v>
      </c>
      <c r="E367">
        <v>0</v>
      </c>
      <c r="F367">
        <v>0</v>
      </c>
      <c r="G367">
        <v>2883.53</v>
      </c>
    </row>
    <row r="368" spans="1:7" x14ac:dyDescent="0.2">
      <c r="A368" t="s">
        <v>1046</v>
      </c>
      <c r="B368" t="s">
        <v>378</v>
      </c>
      <c r="C368">
        <v>80070.490000000005</v>
      </c>
      <c r="D368">
        <v>79261.08</v>
      </c>
      <c r="E368">
        <v>0</v>
      </c>
      <c r="F368">
        <v>0</v>
      </c>
      <c r="G368">
        <v>809.41</v>
      </c>
    </row>
    <row r="369" spans="1:7" x14ac:dyDescent="0.2">
      <c r="A369" t="s">
        <v>902</v>
      </c>
      <c r="B369" t="s">
        <v>519</v>
      </c>
      <c r="C369">
        <v>88778.13</v>
      </c>
      <c r="D369">
        <v>54211.3</v>
      </c>
      <c r="E369">
        <v>19668.900000000001</v>
      </c>
      <c r="F369">
        <v>0</v>
      </c>
      <c r="G369">
        <v>14897.93</v>
      </c>
    </row>
    <row r="370" spans="1:7" x14ac:dyDescent="0.2">
      <c r="A370" t="s">
        <v>123</v>
      </c>
      <c r="B370" t="s">
        <v>65</v>
      </c>
      <c r="C370">
        <v>155270.25</v>
      </c>
      <c r="D370">
        <v>96069.02</v>
      </c>
      <c r="E370">
        <v>19727.060000000001</v>
      </c>
      <c r="F370">
        <v>722</v>
      </c>
      <c r="G370">
        <v>38752.17</v>
      </c>
    </row>
    <row r="371" spans="1:7" x14ac:dyDescent="0.2">
      <c r="A371" t="s">
        <v>1636</v>
      </c>
      <c r="B371" t="s">
        <v>1637</v>
      </c>
      <c r="C371">
        <v>55457.11</v>
      </c>
      <c r="D371">
        <v>55172.86</v>
      </c>
      <c r="E371">
        <v>284.25</v>
      </c>
      <c r="F371">
        <v>0</v>
      </c>
      <c r="G371">
        <v>0</v>
      </c>
    </row>
    <row r="372" spans="1:7" x14ac:dyDescent="0.2">
      <c r="A372" t="s">
        <v>901</v>
      </c>
      <c r="B372" t="s">
        <v>404</v>
      </c>
      <c r="C372">
        <v>88835.11</v>
      </c>
      <c r="D372">
        <v>84977.11</v>
      </c>
      <c r="E372">
        <v>0</v>
      </c>
      <c r="F372">
        <v>0</v>
      </c>
      <c r="G372">
        <v>3858</v>
      </c>
    </row>
    <row r="373" spans="1:7" x14ac:dyDescent="0.2">
      <c r="A373" t="s">
        <v>647</v>
      </c>
      <c r="B373" t="s">
        <v>648</v>
      </c>
      <c r="C373">
        <v>100212.97</v>
      </c>
      <c r="D373">
        <v>97567.44</v>
      </c>
      <c r="E373">
        <v>0</v>
      </c>
      <c r="F373">
        <v>0</v>
      </c>
      <c r="G373">
        <v>2645.53</v>
      </c>
    </row>
    <row r="374" spans="1:7" x14ac:dyDescent="0.2">
      <c r="A374" t="s">
        <v>1166</v>
      </c>
      <c r="B374" t="s">
        <v>687</v>
      </c>
      <c r="C374">
        <v>76212.53</v>
      </c>
      <c r="D374">
        <v>57792.81</v>
      </c>
      <c r="E374">
        <v>0</v>
      </c>
      <c r="F374">
        <v>0</v>
      </c>
      <c r="G374">
        <v>18419.72</v>
      </c>
    </row>
    <row r="375" spans="1:7" x14ac:dyDescent="0.2">
      <c r="A375" t="s">
        <v>1361</v>
      </c>
      <c r="B375" t="s">
        <v>1362</v>
      </c>
      <c r="C375">
        <v>66707.42</v>
      </c>
      <c r="D375">
        <v>66207.42</v>
      </c>
      <c r="E375">
        <v>0</v>
      </c>
      <c r="F375">
        <v>0</v>
      </c>
      <c r="G375">
        <v>500</v>
      </c>
    </row>
    <row r="376" spans="1:7" x14ac:dyDescent="0.2">
      <c r="A376" t="s">
        <v>1270</v>
      </c>
      <c r="B376" t="s">
        <v>1271</v>
      </c>
      <c r="C376">
        <v>70302.55</v>
      </c>
      <c r="D376">
        <v>51872.93</v>
      </c>
      <c r="E376">
        <v>7301.34</v>
      </c>
      <c r="F376">
        <v>0</v>
      </c>
      <c r="G376">
        <v>11128.28</v>
      </c>
    </row>
    <row r="377" spans="1:7" x14ac:dyDescent="0.2">
      <c r="A377" t="s">
        <v>1365</v>
      </c>
      <c r="B377" t="s">
        <v>1330</v>
      </c>
      <c r="C377">
        <v>66637.119999999995</v>
      </c>
      <c r="D377">
        <v>52171.67</v>
      </c>
      <c r="E377">
        <v>11239.28</v>
      </c>
      <c r="F377">
        <v>0</v>
      </c>
      <c r="G377">
        <v>3226.17</v>
      </c>
    </row>
    <row r="378" spans="1:7" x14ac:dyDescent="0.2">
      <c r="A378" t="s">
        <v>1680</v>
      </c>
      <c r="B378" t="s">
        <v>1299</v>
      </c>
      <c r="C378">
        <v>53604.43</v>
      </c>
      <c r="D378">
        <v>44803.71</v>
      </c>
      <c r="E378">
        <v>0</v>
      </c>
      <c r="F378">
        <v>0</v>
      </c>
      <c r="G378">
        <v>8800.7199999999993</v>
      </c>
    </row>
    <row r="379" spans="1:7" x14ac:dyDescent="0.2">
      <c r="A379" t="s">
        <v>365</v>
      </c>
      <c r="B379" t="s">
        <v>333</v>
      </c>
      <c r="C379">
        <v>115922.21</v>
      </c>
      <c r="D379">
        <v>56635.47</v>
      </c>
      <c r="E379">
        <v>50506.879999999997</v>
      </c>
      <c r="F379">
        <v>0</v>
      </c>
      <c r="G379">
        <v>8779.86</v>
      </c>
    </row>
    <row r="380" spans="1:7" x14ac:dyDescent="0.2">
      <c r="A380" t="s">
        <v>251</v>
      </c>
      <c r="B380" t="s">
        <v>130</v>
      </c>
      <c r="C380">
        <v>126921.56</v>
      </c>
      <c r="D380">
        <v>77273.490000000005</v>
      </c>
      <c r="E380">
        <v>13071.26</v>
      </c>
      <c r="F380">
        <v>4344</v>
      </c>
      <c r="G380">
        <v>32232.81</v>
      </c>
    </row>
    <row r="381" spans="1:7" x14ac:dyDescent="0.2">
      <c r="A381" t="s">
        <v>911</v>
      </c>
      <c r="B381" t="s">
        <v>378</v>
      </c>
      <c r="C381">
        <v>88446.5</v>
      </c>
      <c r="D381">
        <v>87533.54</v>
      </c>
      <c r="E381">
        <v>0</v>
      </c>
      <c r="F381">
        <v>0</v>
      </c>
      <c r="G381">
        <v>912.96</v>
      </c>
    </row>
    <row r="382" spans="1:7" x14ac:dyDescent="0.2">
      <c r="A382" t="s">
        <v>892</v>
      </c>
      <c r="B382" t="s">
        <v>893</v>
      </c>
      <c r="C382">
        <v>89278.54</v>
      </c>
      <c r="D382">
        <v>88276.56</v>
      </c>
      <c r="E382">
        <v>0</v>
      </c>
      <c r="F382">
        <v>0</v>
      </c>
      <c r="G382">
        <v>1001.98</v>
      </c>
    </row>
    <row r="383" spans="1:7" x14ac:dyDescent="0.2">
      <c r="A383" t="s">
        <v>335</v>
      </c>
      <c r="B383" t="s">
        <v>336</v>
      </c>
      <c r="C383">
        <v>119099.7</v>
      </c>
      <c r="D383">
        <v>118369.7</v>
      </c>
      <c r="E383">
        <v>0</v>
      </c>
      <c r="F383">
        <v>0</v>
      </c>
      <c r="G383">
        <v>730</v>
      </c>
    </row>
    <row r="384" spans="1:7" x14ac:dyDescent="0.2">
      <c r="A384" t="s">
        <v>338</v>
      </c>
      <c r="B384" t="s">
        <v>130</v>
      </c>
      <c r="C384">
        <v>118874.46</v>
      </c>
      <c r="D384">
        <v>79901.990000000005</v>
      </c>
      <c r="E384">
        <v>6406.4</v>
      </c>
      <c r="F384">
        <v>582</v>
      </c>
      <c r="G384">
        <v>31984.07</v>
      </c>
    </row>
    <row r="385" spans="1:7" x14ac:dyDescent="0.2">
      <c r="A385" t="s">
        <v>975</v>
      </c>
      <c r="B385" t="s">
        <v>433</v>
      </c>
      <c r="C385">
        <v>84300.160000000003</v>
      </c>
      <c r="D385">
        <v>83174.66</v>
      </c>
      <c r="E385">
        <v>0</v>
      </c>
      <c r="F385">
        <v>0</v>
      </c>
      <c r="G385">
        <v>1125.5</v>
      </c>
    </row>
    <row r="386" spans="1:7" x14ac:dyDescent="0.2">
      <c r="A386" t="s">
        <v>1498</v>
      </c>
      <c r="B386" t="s">
        <v>1499</v>
      </c>
      <c r="C386">
        <v>61788.32</v>
      </c>
      <c r="D386">
        <v>61788.32</v>
      </c>
      <c r="E386">
        <v>0</v>
      </c>
      <c r="F386">
        <v>0</v>
      </c>
      <c r="G386">
        <v>0</v>
      </c>
    </row>
    <row r="387" spans="1:7" x14ac:dyDescent="0.2">
      <c r="A387" t="s">
        <v>92</v>
      </c>
      <c r="B387" t="s">
        <v>28</v>
      </c>
      <c r="C387">
        <v>174793.61</v>
      </c>
      <c r="D387">
        <v>153769.26</v>
      </c>
      <c r="E387">
        <v>4831.53</v>
      </c>
      <c r="F387">
        <v>0</v>
      </c>
      <c r="G387">
        <v>16192.82</v>
      </c>
    </row>
    <row r="388" spans="1:7" x14ac:dyDescent="0.2">
      <c r="A388" t="s">
        <v>92</v>
      </c>
      <c r="B388" t="s">
        <v>1028</v>
      </c>
      <c r="C388">
        <v>56281.25</v>
      </c>
      <c r="D388">
        <v>53599</v>
      </c>
      <c r="E388">
        <v>0</v>
      </c>
      <c r="F388">
        <v>0</v>
      </c>
      <c r="G388">
        <v>2682.25</v>
      </c>
    </row>
    <row r="389" spans="1:7" x14ac:dyDescent="0.2">
      <c r="A389" t="s">
        <v>199</v>
      </c>
      <c r="B389" t="s">
        <v>65</v>
      </c>
      <c r="C389">
        <v>135086.85</v>
      </c>
      <c r="D389">
        <v>95060.13</v>
      </c>
      <c r="E389">
        <v>3290.52</v>
      </c>
      <c r="F389">
        <v>0</v>
      </c>
      <c r="G389">
        <v>36736.199999999997</v>
      </c>
    </row>
    <row r="390" spans="1:7" x14ac:dyDescent="0.2">
      <c r="A390" t="s">
        <v>663</v>
      </c>
      <c r="B390" t="s">
        <v>330</v>
      </c>
      <c r="C390">
        <v>99700.84</v>
      </c>
      <c r="D390">
        <v>96975.31</v>
      </c>
      <c r="E390">
        <v>0</v>
      </c>
      <c r="F390">
        <v>0</v>
      </c>
      <c r="G390">
        <v>2725.53</v>
      </c>
    </row>
    <row r="391" spans="1:7" x14ac:dyDescent="0.2">
      <c r="A391" t="s">
        <v>246</v>
      </c>
      <c r="B391" t="s">
        <v>65</v>
      </c>
      <c r="C391">
        <v>127213.41</v>
      </c>
      <c r="D391">
        <v>94169.76</v>
      </c>
      <c r="E391">
        <v>974.26</v>
      </c>
      <c r="F391">
        <v>0</v>
      </c>
      <c r="G391">
        <v>32069.39</v>
      </c>
    </row>
    <row r="392" spans="1:7" x14ac:dyDescent="0.2">
      <c r="A392" t="s">
        <v>534</v>
      </c>
      <c r="B392" t="s">
        <v>378</v>
      </c>
      <c r="C392">
        <v>104997.96</v>
      </c>
      <c r="D392">
        <v>102826.8</v>
      </c>
      <c r="E392">
        <v>0</v>
      </c>
      <c r="F392">
        <v>0</v>
      </c>
      <c r="G392">
        <v>2171.16</v>
      </c>
    </row>
    <row r="393" spans="1:7" x14ac:dyDescent="0.2">
      <c r="A393" t="s">
        <v>274</v>
      </c>
      <c r="B393" t="s">
        <v>130</v>
      </c>
      <c r="C393">
        <v>123972.2</v>
      </c>
      <c r="D393">
        <v>81136.2</v>
      </c>
      <c r="E393">
        <v>6514.23</v>
      </c>
      <c r="F393">
        <v>2532</v>
      </c>
      <c r="G393">
        <v>33789.769999999997</v>
      </c>
    </row>
    <row r="394" spans="1:7" x14ac:dyDescent="0.2">
      <c r="A394" t="s">
        <v>149</v>
      </c>
      <c r="B394" t="s">
        <v>24</v>
      </c>
      <c r="C394">
        <v>147885.10999999999</v>
      </c>
      <c r="D394">
        <v>74591.5</v>
      </c>
      <c r="E394">
        <v>21916.12</v>
      </c>
      <c r="F394">
        <v>42897.25</v>
      </c>
      <c r="G394">
        <v>8480.24</v>
      </c>
    </row>
    <row r="395" spans="1:7" x14ac:dyDescent="0.2">
      <c r="A395" t="s">
        <v>990</v>
      </c>
      <c r="B395" t="s">
        <v>24</v>
      </c>
      <c r="C395">
        <v>82953.039999999994</v>
      </c>
      <c r="D395">
        <v>68216.52</v>
      </c>
      <c r="E395">
        <v>3492.81</v>
      </c>
      <c r="F395">
        <v>0</v>
      </c>
      <c r="G395">
        <v>11243.71</v>
      </c>
    </row>
    <row r="396" spans="1:7" x14ac:dyDescent="0.2">
      <c r="A396" t="s">
        <v>1206</v>
      </c>
      <c r="B396" t="s">
        <v>448</v>
      </c>
      <c r="C396">
        <v>73154.3</v>
      </c>
      <c r="D396">
        <v>70614.3</v>
      </c>
      <c r="E396">
        <v>0</v>
      </c>
      <c r="F396">
        <v>0</v>
      </c>
      <c r="G396">
        <v>2540</v>
      </c>
    </row>
    <row r="397" spans="1:7" x14ac:dyDescent="0.2">
      <c r="A397" t="s">
        <v>518</v>
      </c>
      <c r="B397" t="s">
        <v>519</v>
      </c>
      <c r="C397">
        <v>105292.87</v>
      </c>
      <c r="D397">
        <v>49387.29</v>
      </c>
      <c r="E397">
        <v>43149.99</v>
      </c>
      <c r="F397">
        <v>0</v>
      </c>
      <c r="G397">
        <v>12755.59</v>
      </c>
    </row>
    <row r="398" spans="1:7" x14ac:dyDescent="0.2">
      <c r="A398" t="s">
        <v>1594</v>
      </c>
      <c r="B398" t="s">
        <v>1490</v>
      </c>
      <c r="C398">
        <v>58003.61</v>
      </c>
      <c r="D398">
        <v>46735.54</v>
      </c>
      <c r="E398">
        <v>1345.76</v>
      </c>
      <c r="F398">
        <v>0</v>
      </c>
      <c r="G398">
        <v>9922.31</v>
      </c>
    </row>
    <row r="399" spans="1:7" x14ac:dyDescent="0.2">
      <c r="A399" t="s">
        <v>1075</v>
      </c>
      <c r="B399" t="s">
        <v>378</v>
      </c>
      <c r="C399">
        <v>79158.600000000006</v>
      </c>
      <c r="D399">
        <v>77882.100000000006</v>
      </c>
      <c r="E399">
        <v>0</v>
      </c>
      <c r="F399">
        <v>0</v>
      </c>
      <c r="G399">
        <v>1276.5</v>
      </c>
    </row>
    <row r="400" spans="1:7" x14ac:dyDescent="0.2">
      <c r="A400" t="s">
        <v>833</v>
      </c>
      <c r="B400" t="s">
        <v>404</v>
      </c>
      <c r="C400">
        <v>92582.43</v>
      </c>
      <c r="D400">
        <v>92582.43</v>
      </c>
      <c r="E400">
        <v>0</v>
      </c>
      <c r="F400">
        <v>0</v>
      </c>
      <c r="G400">
        <v>0</v>
      </c>
    </row>
    <row r="401" spans="1:7" x14ac:dyDescent="0.2">
      <c r="A401" t="s">
        <v>1338</v>
      </c>
      <c r="B401" t="s">
        <v>1000</v>
      </c>
      <c r="C401">
        <v>67573.56</v>
      </c>
      <c r="D401">
        <v>53612.94</v>
      </c>
      <c r="E401">
        <v>4773.62</v>
      </c>
      <c r="F401">
        <v>0</v>
      </c>
      <c r="G401">
        <v>9187</v>
      </c>
    </row>
    <row r="402" spans="1:7" x14ac:dyDescent="0.2">
      <c r="A402" t="s">
        <v>938</v>
      </c>
      <c r="B402" t="s">
        <v>939</v>
      </c>
      <c r="C402">
        <v>86701.03</v>
      </c>
      <c r="D402">
        <v>86651.03</v>
      </c>
      <c r="E402">
        <v>0</v>
      </c>
      <c r="F402">
        <v>0</v>
      </c>
      <c r="G402">
        <v>50</v>
      </c>
    </row>
    <row r="403" spans="1:7" x14ac:dyDescent="0.2">
      <c r="A403" t="s">
        <v>1497</v>
      </c>
      <c r="B403" t="s">
        <v>1044</v>
      </c>
      <c r="C403">
        <v>61788.33</v>
      </c>
      <c r="D403">
        <v>61788.33</v>
      </c>
      <c r="E403">
        <v>0</v>
      </c>
      <c r="F403">
        <v>0</v>
      </c>
      <c r="G403">
        <v>0</v>
      </c>
    </row>
    <row r="404" spans="1:7" x14ac:dyDescent="0.2">
      <c r="A404" t="s">
        <v>384</v>
      </c>
      <c r="B404" t="s">
        <v>130</v>
      </c>
      <c r="C404">
        <v>112532.24</v>
      </c>
      <c r="D404">
        <v>76184.84</v>
      </c>
      <c r="E404">
        <v>9680.64</v>
      </c>
      <c r="F404">
        <v>647</v>
      </c>
      <c r="G404">
        <v>26019.759999999998</v>
      </c>
    </row>
    <row r="405" spans="1:7" x14ac:dyDescent="0.2">
      <c r="A405" t="s">
        <v>1415</v>
      </c>
      <c r="B405" t="s">
        <v>448</v>
      </c>
      <c r="C405">
        <v>65182.3</v>
      </c>
      <c r="D405">
        <v>61010.8</v>
      </c>
      <c r="E405">
        <v>0</v>
      </c>
      <c r="F405">
        <v>0</v>
      </c>
      <c r="G405">
        <v>4171.5</v>
      </c>
    </row>
    <row r="406" spans="1:7" x14ac:dyDescent="0.2">
      <c r="A406" t="s">
        <v>839</v>
      </c>
      <c r="B406" t="s">
        <v>701</v>
      </c>
      <c r="C406">
        <v>92307.63</v>
      </c>
      <c r="D406">
        <v>74293.3</v>
      </c>
      <c r="E406">
        <v>7294.52</v>
      </c>
      <c r="F406">
        <v>0</v>
      </c>
      <c r="G406">
        <v>10719.81</v>
      </c>
    </row>
    <row r="407" spans="1:7" x14ac:dyDescent="0.2">
      <c r="A407" t="s">
        <v>839</v>
      </c>
      <c r="B407" t="s">
        <v>130</v>
      </c>
      <c r="C407">
        <v>68795.399999999994</v>
      </c>
      <c r="D407">
        <v>58884.44</v>
      </c>
      <c r="E407">
        <v>2469.12</v>
      </c>
      <c r="F407">
        <v>0</v>
      </c>
      <c r="G407">
        <v>7441.84</v>
      </c>
    </row>
    <row r="408" spans="1:7" x14ac:dyDescent="0.2">
      <c r="A408" t="s">
        <v>363</v>
      </c>
      <c r="B408" t="s">
        <v>364</v>
      </c>
      <c r="C408">
        <v>116015.89</v>
      </c>
      <c r="D408">
        <v>116015.89</v>
      </c>
      <c r="E408">
        <v>0</v>
      </c>
      <c r="F408">
        <v>0</v>
      </c>
      <c r="G408">
        <v>0</v>
      </c>
    </row>
    <row r="409" spans="1:7" x14ac:dyDescent="0.2">
      <c r="A409" t="s">
        <v>361</v>
      </c>
      <c r="B409" t="s">
        <v>24</v>
      </c>
      <c r="C409">
        <v>116324.43</v>
      </c>
      <c r="D409">
        <v>84750.71</v>
      </c>
      <c r="E409">
        <v>3423.92</v>
      </c>
      <c r="F409">
        <v>21540</v>
      </c>
      <c r="G409">
        <v>6609.8</v>
      </c>
    </row>
    <row r="410" spans="1:7" x14ac:dyDescent="0.2">
      <c r="A410" t="s">
        <v>1453</v>
      </c>
      <c r="B410" t="s">
        <v>378</v>
      </c>
      <c r="C410">
        <v>63538.78</v>
      </c>
      <c r="D410">
        <v>61636.43</v>
      </c>
      <c r="E410">
        <v>0</v>
      </c>
      <c r="F410">
        <v>0</v>
      </c>
      <c r="G410">
        <v>1902.35</v>
      </c>
    </row>
    <row r="411" spans="1:7" x14ac:dyDescent="0.2">
      <c r="A411" t="s">
        <v>725</v>
      </c>
      <c r="B411" t="s">
        <v>24</v>
      </c>
      <c r="C411">
        <v>97236.99</v>
      </c>
      <c r="D411">
        <v>84154.72</v>
      </c>
      <c r="E411">
        <v>0</v>
      </c>
      <c r="F411">
        <v>0</v>
      </c>
      <c r="G411">
        <v>13082.27</v>
      </c>
    </row>
    <row r="412" spans="1:7" x14ac:dyDescent="0.2">
      <c r="A412" t="s">
        <v>462</v>
      </c>
      <c r="B412" t="s">
        <v>378</v>
      </c>
      <c r="C412">
        <v>108090.36</v>
      </c>
      <c r="D412">
        <v>106077.77</v>
      </c>
      <c r="E412">
        <v>0</v>
      </c>
      <c r="F412">
        <v>0</v>
      </c>
      <c r="G412">
        <v>2012.59</v>
      </c>
    </row>
    <row r="413" spans="1:7" x14ac:dyDescent="0.2">
      <c r="A413" t="s">
        <v>1564</v>
      </c>
      <c r="B413" t="s">
        <v>330</v>
      </c>
      <c r="C413">
        <v>59169.41</v>
      </c>
      <c r="D413">
        <v>53508.6</v>
      </c>
      <c r="E413">
        <v>0</v>
      </c>
      <c r="F413">
        <v>0</v>
      </c>
      <c r="G413">
        <v>5660.81</v>
      </c>
    </row>
    <row r="414" spans="1:7" x14ac:dyDescent="0.2">
      <c r="A414" t="s">
        <v>779</v>
      </c>
      <c r="B414" t="s">
        <v>330</v>
      </c>
      <c r="C414">
        <v>94669.01</v>
      </c>
      <c r="D414">
        <v>88036.81</v>
      </c>
      <c r="E414">
        <v>0</v>
      </c>
      <c r="F414">
        <v>0</v>
      </c>
      <c r="G414">
        <v>6632.2</v>
      </c>
    </row>
    <row r="415" spans="1:7" x14ac:dyDescent="0.2">
      <c r="A415" t="s">
        <v>1546</v>
      </c>
      <c r="B415" t="s">
        <v>404</v>
      </c>
      <c r="C415">
        <v>59902.68</v>
      </c>
      <c r="D415">
        <v>58762.68</v>
      </c>
      <c r="E415">
        <v>0</v>
      </c>
      <c r="F415">
        <v>0</v>
      </c>
      <c r="G415">
        <v>1140</v>
      </c>
    </row>
    <row r="416" spans="1:7" x14ac:dyDescent="0.2">
      <c r="A416" t="s">
        <v>1112</v>
      </c>
      <c r="B416" t="s">
        <v>24</v>
      </c>
      <c r="C416">
        <v>77697.8</v>
      </c>
      <c r="D416">
        <v>57182.93</v>
      </c>
      <c r="E416">
        <v>5068.3999999999996</v>
      </c>
      <c r="F416">
        <v>11746</v>
      </c>
      <c r="G416">
        <v>3700.47</v>
      </c>
    </row>
    <row r="417" spans="1:7" x14ac:dyDescent="0.2">
      <c r="A417" t="s">
        <v>544</v>
      </c>
      <c r="B417" t="s">
        <v>433</v>
      </c>
      <c r="C417">
        <v>104673.53</v>
      </c>
      <c r="D417">
        <v>95795.01</v>
      </c>
      <c r="E417">
        <v>0</v>
      </c>
      <c r="F417">
        <v>0</v>
      </c>
      <c r="G417">
        <v>8878.52</v>
      </c>
    </row>
    <row r="418" spans="1:7" x14ac:dyDescent="0.2">
      <c r="A418" t="s">
        <v>1600</v>
      </c>
      <c r="B418" t="s">
        <v>1134</v>
      </c>
      <c r="C418">
        <v>57618.9</v>
      </c>
      <c r="D418">
        <v>45692.39</v>
      </c>
      <c r="E418">
        <v>1363.72</v>
      </c>
      <c r="F418">
        <v>0</v>
      </c>
      <c r="G418">
        <v>10562.79</v>
      </c>
    </row>
    <row r="419" spans="1:7" x14ac:dyDescent="0.2">
      <c r="A419" t="s">
        <v>1548</v>
      </c>
      <c r="B419" t="s">
        <v>1549</v>
      </c>
      <c r="C419">
        <v>59710.32</v>
      </c>
      <c r="D419">
        <v>59710.32</v>
      </c>
      <c r="E419">
        <v>0</v>
      </c>
      <c r="F419">
        <v>0</v>
      </c>
      <c r="G419">
        <v>0</v>
      </c>
    </row>
    <row r="420" spans="1:7" x14ac:dyDescent="0.2">
      <c r="A420" t="s">
        <v>921</v>
      </c>
      <c r="B420" t="s">
        <v>393</v>
      </c>
      <c r="C420">
        <v>88144.76</v>
      </c>
      <c r="D420">
        <v>86981.72</v>
      </c>
      <c r="E420">
        <v>0</v>
      </c>
      <c r="F420">
        <v>0</v>
      </c>
      <c r="G420">
        <v>1163.04</v>
      </c>
    </row>
    <row r="421" spans="1:7" x14ac:dyDescent="0.2">
      <c r="A421" t="s">
        <v>209</v>
      </c>
      <c r="B421" t="s">
        <v>24</v>
      </c>
      <c r="C421">
        <v>133415.28</v>
      </c>
      <c r="D421">
        <v>84154.74</v>
      </c>
      <c r="E421">
        <v>4857.9799999999996</v>
      </c>
      <c r="F421">
        <v>32646.25</v>
      </c>
      <c r="G421">
        <v>11756.31</v>
      </c>
    </row>
    <row r="422" spans="1:7" x14ac:dyDescent="0.2">
      <c r="A422" t="s">
        <v>499</v>
      </c>
      <c r="B422" t="s">
        <v>500</v>
      </c>
      <c r="C422">
        <v>106100.02</v>
      </c>
      <c r="D422">
        <v>68400.429999999993</v>
      </c>
      <c r="E422">
        <v>53.2</v>
      </c>
      <c r="F422">
        <v>0</v>
      </c>
      <c r="G422">
        <v>37646.39</v>
      </c>
    </row>
    <row r="423" spans="1:7" x14ac:dyDescent="0.2">
      <c r="A423" t="s">
        <v>1129</v>
      </c>
      <c r="B423" t="s">
        <v>856</v>
      </c>
      <c r="C423">
        <v>77137.600000000006</v>
      </c>
      <c r="D423">
        <v>60926.400000000001</v>
      </c>
      <c r="E423">
        <v>8138.13</v>
      </c>
      <c r="F423">
        <v>0</v>
      </c>
      <c r="G423">
        <v>8073.07</v>
      </c>
    </row>
    <row r="424" spans="1:7" x14ac:dyDescent="0.2">
      <c r="A424" t="s">
        <v>806</v>
      </c>
      <c r="B424" t="s">
        <v>404</v>
      </c>
      <c r="C424">
        <v>93723.43</v>
      </c>
      <c r="D424">
        <v>92582.43</v>
      </c>
      <c r="E424">
        <v>0</v>
      </c>
      <c r="F424">
        <v>0</v>
      </c>
      <c r="G424">
        <v>1141</v>
      </c>
    </row>
    <row r="425" spans="1:7" x14ac:dyDescent="0.2">
      <c r="A425" t="s">
        <v>231</v>
      </c>
      <c r="B425" t="s">
        <v>130</v>
      </c>
      <c r="C425">
        <v>129635.41</v>
      </c>
      <c r="D425">
        <v>80890.259999999995</v>
      </c>
      <c r="E425">
        <v>15499.8</v>
      </c>
      <c r="F425">
        <v>321</v>
      </c>
      <c r="G425">
        <v>32924.35</v>
      </c>
    </row>
    <row r="426" spans="1:7" x14ac:dyDescent="0.2">
      <c r="A426" t="s">
        <v>1176</v>
      </c>
      <c r="B426" t="s">
        <v>378</v>
      </c>
      <c r="C426">
        <v>75532.990000000005</v>
      </c>
      <c r="D426">
        <v>74214.990000000005</v>
      </c>
      <c r="E426">
        <v>0</v>
      </c>
      <c r="F426">
        <v>0</v>
      </c>
      <c r="G426">
        <v>1318</v>
      </c>
    </row>
    <row r="427" spans="1:7" x14ac:dyDescent="0.2">
      <c r="A427" t="s">
        <v>1405</v>
      </c>
      <c r="B427" t="s">
        <v>1319</v>
      </c>
      <c r="C427">
        <v>65416.97</v>
      </c>
      <c r="D427">
        <v>50249.29</v>
      </c>
      <c r="E427">
        <v>5256.68</v>
      </c>
      <c r="F427">
        <v>0</v>
      </c>
      <c r="G427">
        <v>9911</v>
      </c>
    </row>
    <row r="428" spans="1:7" x14ac:dyDescent="0.2">
      <c r="A428" t="s">
        <v>571</v>
      </c>
      <c r="B428" t="s">
        <v>330</v>
      </c>
      <c r="C428">
        <v>103527.78</v>
      </c>
      <c r="D428">
        <v>103527.78</v>
      </c>
      <c r="E428">
        <v>0</v>
      </c>
      <c r="F428">
        <v>0</v>
      </c>
      <c r="G428">
        <v>0</v>
      </c>
    </row>
    <row r="429" spans="1:7" x14ac:dyDescent="0.2">
      <c r="A429" t="s">
        <v>1518</v>
      </c>
      <c r="B429" t="s">
        <v>1411</v>
      </c>
      <c r="C429">
        <v>61096.25</v>
      </c>
      <c r="D429">
        <v>60576.95</v>
      </c>
      <c r="E429">
        <v>519.29999999999995</v>
      </c>
      <c r="F429">
        <v>0</v>
      </c>
      <c r="G429">
        <v>0</v>
      </c>
    </row>
    <row r="430" spans="1:7" x14ac:dyDescent="0.2">
      <c r="A430" t="s">
        <v>858</v>
      </c>
      <c r="B430" t="s">
        <v>317</v>
      </c>
      <c r="C430">
        <v>91617.83</v>
      </c>
      <c r="D430">
        <v>54605.58</v>
      </c>
      <c r="E430">
        <v>24195.279999999999</v>
      </c>
      <c r="F430">
        <v>0</v>
      </c>
      <c r="G430">
        <v>12816.97</v>
      </c>
    </row>
    <row r="431" spans="1:7" x14ac:dyDescent="0.2">
      <c r="A431" t="s">
        <v>40</v>
      </c>
      <c r="B431" t="s">
        <v>41</v>
      </c>
      <c r="C431">
        <v>218345.77</v>
      </c>
      <c r="D431">
        <v>214345.81</v>
      </c>
      <c r="E431">
        <v>0</v>
      </c>
      <c r="F431">
        <v>0</v>
      </c>
      <c r="G431">
        <v>3999.96</v>
      </c>
    </row>
    <row r="432" spans="1:7" x14ac:dyDescent="0.2">
      <c r="A432" t="s">
        <v>520</v>
      </c>
      <c r="B432" t="s">
        <v>24</v>
      </c>
      <c r="C432">
        <v>105273.86</v>
      </c>
      <c r="D432">
        <v>80966.73</v>
      </c>
      <c r="E432">
        <v>13813.75</v>
      </c>
      <c r="F432">
        <v>2395</v>
      </c>
      <c r="G432">
        <v>8098.38</v>
      </c>
    </row>
    <row r="433" spans="1:7" x14ac:dyDescent="0.2">
      <c r="A433" t="s">
        <v>238</v>
      </c>
      <c r="B433" t="s">
        <v>130</v>
      </c>
      <c r="C433">
        <v>128912.61</v>
      </c>
      <c r="D433">
        <v>82502.080000000002</v>
      </c>
      <c r="E433">
        <v>12294.82</v>
      </c>
      <c r="F433">
        <v>1303</v>
      </c>
      <c r="G433">
        <v>32812.71</v>
      </c>
    </row>
    <row r="434" spans="1:7" x14ac:dyDescent="0.2">
      <c r="A434" t="s">
        <v>1286</v>
      </c>
      <c r="B434" t="s">
        <v>1287</v>
      </c>
      <c r="C434">
        <v>69637.73</v>
      </c>
      <c r="D434">
        <v>68559.72</v>
      </c>
      <c r="E434">
        <v>128.01</v>
      </c>
      <c r="F434">
        <v>0</v>
      </c>
      <c r="G434">
        <v>950</v>
      </c>
    </row>
    <row r="435" spans="1:7" x14ac:dyDescent="0.2">
      <c r="A435" t="s">
        <v>532</v>
      </c>
      <c r="B435" t="s">
        <v>533</v>
      </c>
      <c r="C435">
        <v>105040.29</v>
      </c>
      <c r="D435">
        <v>105040.29</v>
      </c>
      <c r="E435">
        <v>0</v>
      </c>
      <c r="F435">
        <v>0</v>
      </c>
      <c r="G435">
        <v>0</v>
      </c>
    </row>
    <row r="436" spans="1:7" x14ac:dyDescent="0.2">
      <c r="A436" t="s">
        <v>1489</v>
      </c>
      <c r="B436" t="s">
        <v>1490</v>
      </c>
      <c r="C436">
        <v>61828.65</v>
      </c>
      <c r="D436">
        <v>46735.519999999997</v>
      </c>
      <c r="E436">
        <v>6477.82</v>
      </c>
      <c r="F436">
        <v>0</v>
      </c>
      <c r="G436">
        <v>8615.31</v>
      </c>
    </row>
    <row r="437" spans="1:7" x14ac:dyDescent="0.2">
      <c r="A437" t="s">
        <v>1373</v>
      </c>
      <c r="B437" t="s">
        <v>1374</v>
      </c>
      <c r="C437">
        <v>66287.41</v>
      </c>
      <c r="D437">
        <v>66207.41</v>
      </c>
      <c r="E437">
        <v>0</v>
      </c>
      <c r="F437">
        <v>0</v>
      </c>
      <c r="G437">
        <v>80</v>
      </c>
    </row>
    <row r="438" spans="1:7" x14ac:dyDescent="0.2">
      <c r="A438" t="s">
        <v>1618</v>
      </c>
      <c r="B438" t="s">
        <v>1036</v>
      </c>
      <c r="C438">
        <v>56191.72</v>
      </c>
      <c r="D438">
        <v>54038.04</v>
      </c>
      <c r="E438">
        <v>1378.7</v>
      </c>
      <c r="F438">
        <v>0</v>
      </c>
      <c r="G438">
        <v>774.98</v>
      </c>
    </row>
    <row r="439" spans="1:7" x14ac:dyDescent="0.2">
      <c r="A439" t="s">
        <v>851</v>
      </c>
      <c r="B439" t="s">
        <v>378</v>
      </c>
      <c r="C439">
        <v>91802.52</v>
      </c>
      <c r="D439">
        <v>91748.52</v>
      </c>
      <c r="E439">
        <v>0</v>
      </c>
      <c r="F439">
        <v>0</v>
      </c>
      <c r="G439">
        <v>54</v>
      </c>
    </row>
    <row r="440" spans="1:7" x14ac:dyDescent="0.2">
      <c r="A440" t="s">
        <v>637</v>
      </c>
      <c r="B440" t="s">
        <v>378</v>
      </c>
      <c r="C440">
        <v>100628.79</v>
      </c>
      <c r="D440">
        <v>100628.79</v>
      </c>
      <c r="E440">
        <v>0</v>
      </c>
      <c r="F440">
        <v>0</v>
      </c>
      <c r="G440">
        <v>0</v>
      </c>
    </row>
    <row r="441" spans="1:7" x14ac:dyDescent="0.2">
      <c r="A441" t="s">
        <v>1556</v>
      </c>
      <c r="B441" t="s">
        <v>1028</v>
      </c>
      <c r="C441">
        <v>59484.65</v>
      </c>
      <c r="D441">
        <v>49213.74</v>
      </c>
      <c r="E441">
        <v>2477.33</v>
      </c>
      <c r="F441">
        <v>2903.88</v>
      </c>
      <c r="G441">
        <v>4889.7</v>
      </c>
    </row>
    <row r="442" spans="1:7" x14ac:dyDescent="0.2">
      <c r="A442" t="s">
        <v>426</v>
      </c>
      <c r="B442" t="s">
        <v>130</v>
      </c>
      <c r="C442">
        <v>110013.88</v>
      </c>
      <c r="D442">
        <v>76574.89</v>
      </c>
      <c r="E442">
        <v>3403.04</v>
      </c>
      <c r="F442">
        <v>0</v>
      </c>
      <c r="G442">
        <v>30035.95</v>
      </c>
    </row>
    <row r="443" spans="1:7" x14ac:dyDescent="0.2">
      <c r="A443" t="s">
        <v>1102</v>
      </c>
      <c r="B443" t="s">
        <v>448</v>
      </c>
      <c r="C443">
        <v>78225.98</v>
      </c>
      <c r="D443">
        <v>77510.48</v>
      </c>
      <c r="E443">
        <v>0</v>
      </c>
      <c r="F443">
        <v>0</v>
      </c>
      <c r="G443">
        <v>715.5</v>
      </c>
    </row>
    <row r="444" spans="1:7" x14ac:dyDescent="0.2">
      <c r="A444" t="s">
        <v>339</v>
      </c>
      <c r="B444" t="s">
        <v>130</v>
      </c>
      <c r="C444">
        <v>118741.49</v>
      </c>
      <c r="D444">
        <v>79914.81</v>
      </c>
      <c r="E444">
        <v>6245.95</v>
      </c>
      <c r="F444">
        <v>0</v>
      </c>
      <c r="G444">
        <v>32580.73</v>
      </c>
    </row>
    <row r="445" spans="1:7" x14ac:dyDescent="0.2">
      <c r="A445" t="s">
        <v>1632</v>
      </c>
      <c r="B445" t="s">
        <v>1028</v>
      </c>
      <c r="C445">
        <v>55621.98</v>
      </c>
      <c r="D445">
        <v>48061.1</v>
      </c>
      <c r="E445">
        <v>1527.56</v>
      </c>
      <c r="F445">
        <v>700</v>
      </c>
      <c r="G445">
        <v>5333.32</v>
      </c>
    </row>
    <row r="446" spans="1:7" x14ac:dyDescent="0.2">
      <c r="A446" t="s">
        <v>100</v>
      </c>
      <c r="B446" t="s">
        <v>49</v>
      </c>
      <c r="C446">
        <v>168598.17</v>
      </c>
      <c r="D446">
        <v>112101.06</v>
      </c>
      <c r="E446">
        <v>13256.57</v>
      </c>
      <c r="F446">
        <v>0</v>
      </c>
      <c r="G446">
        <v>43240.54</v>
      </c>
    </row>
    <row r="447" spans="1:7" x14ac:dyDescent="0.2">
      <c r="A447" t="s">
        <v>1381</v>
      </c>
      <c r="B447" t="s">
        <v>1374</v>
      </c>
      <c r="C447">
        <v>66207.39</v>
      </c>
      <c r="D447">
        <v>66207.39</v>
      </c>
      <c r="E447">
        <v>0</v>
      </c>
      <c r="F447">
        <v>0</v>
      </c>
      <c r="G447">
        <v>0</v>
      </c>
    </row>
    <row r="448" spans="1:7" x14ac:dyDescent="0.2">
      <c r="A448" t="s">
        <v>1236</v>
      </c>
      <c r="B448" t="s">
        <v>130</v>
      </c>
      <c r="C448">
        <v>71879.67</v>
      </c>
      <c r="D448">
        <v>59996.639999999999</v>
      </c>
      <c r="E448">
        <v>4666.57</v>
      </c>
      <c r="F448">
        <v>0</v>
      </c>
      <c r="G448">
        <v>7216.46</v>
      </c>
    </row>
    <row r="449" spans="1:7" x14ac:dyDescent="0.2">
      <c r="A449" t="s">
        <v>1653</v>
      </c>
      <c r="B449" t="s">
        <v>1558</v>
      </c>
      <c r="C449">
        <v>54873.57</v>
      </c>
      <c r="D449">
        <v>54500.98</v>
      </c>
      <c r="E449">
        <v>372.59</v>
      </c>
      <c r="F449">
        <v>0</v>
      </c>
      <c r="G449">
        <v>0</v>
      </c>
    </row>
    <row r="450" spans="1:7" x14ac:dyDescent="0.2">
      <c r="A450" t="s">
        <v>628</v>
      </c>
      <c r="B450" t="s">
        <v>404</v>
      </c>
      <c r="C450">
        <v>100856.5</v>
      </c>
      <c r="D450">
        <v>98982.34</v>
      </c>
      <c r="E450">
        <v>0</v>
      </c>
      <c r="F450">
        <v>0</v>
      </c>
      <c r="G450">
        <v>1874.16</v>
      </c>
    </row>
    <row r="451" spans="1:7" x14ac:dyDescent="0.2">
      <c r="A451" t="s">
        <v>135</v>
      </c>
      <c r="B451" t="s">
        <v>65</v>
      </c>
      <c r="C451">
        <v>151521.85</v>
      </c>
      <c r="D451">
        <v>91059.69</v>
      </c>
      <c r="E451">
        <v>22279.51</v>
      </c>
      <c r="F451">
        <v>1176</v>
      </c>
      <c r="G451">
        <v>37006.65</v>
      </c>
    </row>
    <row r="452" spans="1:7" x14ac:dyDescent="0.2">
      <c r="A452" t="s">
        <v>740</v>
      </c>
      <c r="B452" t="s">
        <v>404</v>
      </c>
      <c r="C452">
        <v>96462.28</v>
      </c>
      <c r="D452">
        <v>95767.28</v>
      </c>
      <c r="E452">
        <v>0</v>
      </c>
      <c r="F452">
        <v>0</v>
      </c>
      <c r="G452">
        <v>695</v>
      </c>
    </row>
    <row r="453" spans="1:7" x14ac:dyDescent="0.2">
      <c r="A453" t="s">
        <v>1537</v>
      </c>
      <c r="B453" t="s">
        <v>1492</v>
      </c>
      <c r="C453">
        <v>60053.43</v>
      </c>
      <c r="D453">
        <v>58482.25</v>
      </c>
      <c r="E453">
        <v>0</v>
      </c>
      <c r="F453">
        <v>0</v>
      </c>
      <c r="G453">
        <v>1571.18</v>
      </c>
    </row>
    <row r="454" spans="1:7" x14ac:dyDescent="0.2">
      <c r="A454" t="s">
        <v>1458</v>
      </c>
      <c r="B454" t="s">
        <v>1389</v>
      </c>
      <c r="C454">
        <v>63316.82</v>
      </c>
      <c r="D454">
        <v>63024.19</v>
      </c>
      <c r="E454">
        <v>292.63</v>
      </c>
      <c r="F454">
        <v>0</v>
      </c>
      <c r="G454">
        <v>0</v>
      </c>
    </row>
    <row r="455" spans="1:7" x14ac:dyDescent="0.2">
      <c r="A455" t="s">
        <v>1359</v>
      </c>
      <c r="B455" t="s">
        <v>1319</v>
      </c>
      <c r="C455">
        <v>66788</v>
      </c>
      <c r="D455">
        <v>52029.1</v>
      </c>
      <c r="E455">
        <v>5705.61</v>
      </c>
      <c r="F455">
        <v>0</v>
      </c>
      <c r="G455">
        <v>9053.2900000000009</v>
      </c>
    </row>
    <row r="456" spans="1:7" x14ac:dyDescent="0.2">
      <c r="A456" t="s">
        <v>328</v>
      </c>
      <c r="B456" t="s">
        <v>242</v>
      </c>
      <c r="C456">
        <v>119516.98</v>
      </c>
      <c r="D456">
        <v>117819.73</v>
      </c>
      <c r="E456">
        <v>0</v>
      </c>
      <c r="F456">
        <v>0</v>
      </c>
      <c r="G456">
        <v>1697.25</v>
      </c>
    </row>
    <row r="457" spans="1:7" x14ac:dyDescent="0.2">
      <c r="A457" t="s">
        <v>44</v>
      </c>
      <c r="B457" t="s">
        <v>26</v>
      </c>
      <c r="C457">
        <v>216268.11</v>
      </c>
      <c r="D457">
        <v>134683.29</v>
      </c>
      <c r="E457">
        <v>27598</v>
      </c>
      <c r="F457">
        <v>1601</v>
      </c>
      <c r="G457">
        <v>52385.82</v>
      </c>
    </row>
    <row r="458" spans="1:7" x14ac:dyDescent="0.2">
      <c r="A458" t="s">
        <v>1629</v>
      </c>
      <c r="B458" t="s">
        <v>1223</v>
      </c>
      <c r="C458">
        <v>55701.7</v>
      </c>
      <c r="D458">
        <v>44645.52</v>
      </c>
      <c r="E458">
        <v>3045.14</v>
      </c>
      <c r="F458">
        <v>0</v>
      </c>
      <c r="G458">
        <v>8011.04</v>
      </c>
    </row>
    <row r="459" spans="1:7" x14ac:dyDescent="0.2">
      <c r="A459" t="s">
        <v>1438</v>
      </c>
      <c r="B459" t="s">
        <v>1000</v>
      </c>
      <c r="C459">
        <v>64103.14</v>
      </c>
      <c r="D459">
        <v>51875.67</v>
      </c>
      <c r="E459">
        <v>2751.96</v>
      </c>
      <c r="F459">
        <v>0</v>
      </c>
      <c r="G459">
        <v>9475.51</v>
      </c>
    </row>
    <row r="460" spans="1:7" x14ac:dyDescent="0.2">
      <c r="A460" t="s">
        <v>1670</v>
      </c>
      <c r="B460" t="s">
        <v>1671</v>
      </c>
      <c r="C460">
        <v>54150.7</v>
      </c>
      <c r="D460">
        <v>50699.88</v>
      </c>
      <c r="E460">
        <v>2950.82</v>
      </c>
      <c r="F460">
        <v>0</v>
      </c>
      <c r="G460">
        <v>500</v>
      </c>
    </row>
    <row r="461" spans="1:7" x14ac:dyDescent="0.2">
      <c r="A461" t="s">
        <v>395</v>
      </c>
      <c r="B461" t="s">
        <v>396</v>
      </c>
      <c r="C461">
        <v>111664.88</v>
      </c>
      <c r="D461">
        <v>107464.92</v>
      </c>
      <c r="E461">
        <v>0</v>
      </c>
      <c r="F461">
        <v>0</v>
      </c>
      <c r="G461">
        <v>4199.96</v>
      </c>
    </row>
    <row r="462" spans="1:7" x14ac:dyDescent="0.2">
      <c r="A462" t="s">
        <v>1356</v>
      </c>
      <c r="B462" t="s">
        <v>1357</v>
      </c>
      <c r="C462">
        <v>66806.66</v>
      </c>
      <c r="D462">
        <v>50576.22</v>
      </c>
      <c r="E462">
        <v>7607.26</v>
      </c>
      <c r="F462">
        <v>0</v>
      </c>
      <c r="G462">
        <v>8623.18</v>
      </c>
    </row>
    <row r="463" spans="1:7" x14ac:dyDescent="0.2">
      <c r="A463" t="s">
        <v>607</v>
      </c>
      <c r="B463" t="s">
        <v>378</v>
      </c>
      <c r="C463">
        <v>101903.91</v>
      </c>
      <c r="D463">
        <v>99867.75</v>
      </c>
      <c r="E463">
        <v>0</v>
      </c>
      <c r="F463">
        <v>0</v>
      </c>
      <c r="G463">
        <v>2036.16</v>
      </c>
    </row>
    <row r="464" spans="1:7" x14ac:dyDescent="0.2">
      <c r="A464" t="s">
        <v>871</v>
      </c>
      <c r="B464" t="s">
        <v>872</v>
      </c>
      <c r="C464">
        <v>90988.1</v>
      </c>
      <c r="D464">
        <v>89284.36</v>
      </c>
      <c r="E464">
        <v>0</v>
      </c>
      <c r="F464">
        <v>0</v>
      </c>
      <c r="G464">
        <v>1703.74</v>
      </c>
    </row>
    <row r="465" spans="1:7" x14ac:dyDescent="0.2">
      <c r="A465" t="s">
        <v>470</v>
      </c>
      <c r="B465" t="s">
        <v>293</v>
      </c>
      <c r="C465">
        <v>107337.04</v>
      </c>
      <c r="D465">
        <v>106659.35</v>
      </c>
      <c r="E465">
        <v>0</v>
      </c>
      <c r="F465">
        <v>0</v>
      </c>
      <c r="G465">
        <v>677.69</v>
      </c>
    </row>
    <row r="466" spans="1:7" x14ac:dyDescent="0.2">
      <c r="A466" t="s">
        <v>139</v>
      </c>
      <c r="B466" t="s">
        <v>140</v>
      </c>
      <c r="C466">
        <v>150290.46</v>
      </c>
      <c r="D466">
        <v>96381.69</v>
      </c>
      <c r="E466">
        <v>16814</v>
      </c>
      <c r="F466">
        <v>0</v>
      </c>
      <c r="G466">
        <v>37094.769999999997</v>
      </c>
    </row>
    <row r="467" spans="1:7" x14ac:dyDescent="0.2">
      <c r="A467" t="s">
        <v>71</v>
      </c>
      <c r="B467" t="s">
        <v>49</v>
      </c>
      <c r="C467">
        <v>188239.13</v>
      </c>
      <c r="D467">
        <v>110195.29</v>
      </c>
      <c r="E467">
        <v>32078.47</v>
      </c>
      <c r="F467">
        <v>1603</v>
      </c>
      <c r="G467">
        <v>44362.37</v>
      </c>
    </row>
    <row r="468" spans="1:7" x14ac:dyDescent="0.2">
      <c r="A468" t="s">
        <v>964</v>
      </c>
      <c r="B468" t="s">
        <v>378</v>
      </c>
      <c r="C468">
        <v>84990.25</v>
      </c>
      <c r="D468">
        <v>84740.25</v>
      </c>
      <c r="E468">
        <v>0</v>
      </c>
      <c r="F468">
        <v>0</v>
      </c>
      <c r="G468">
        <v>250</v>
      </c>
    </row>
    <row r="469" spans="1:7" x14ac:dyDescent="0.2">
      <c r="A469" t="s">
        <v>1568</v>
      </c>
      <c r="B469" t="s">
        <v>433</v>
      </c>
      <c r="C469">
        <v>58873.2</v>
      </c>
      <c r="D469">
        <v>54673.2</v>
      </c>
      <c r="E469">
        <v>0</v>
      </c>
      <c r="F469">
        <v>0</v>
      </c>
      <c r="G469">
        <v>4200</v>
      </c>
    </row>
    <row r="470" spans="1:7" x14ac:dyDescent="0.2">
      <c r="A470" t="s">
        <v>1068</v>
      </c>
      <c r="B470" t="s">
        <v>404</v>
      </c>
      <c r="C470">
        <v>79351.350000000006</v>
      </c>
      <c r="D470">
        <v>75301.350000000006</v>
      </c>
      <c r="E470">
        <v>0</v>
      </c>
      <c r="F470">
        <v>0</v>
      </c>
      <c r="G470">
        <v>4050</v>
      </c>
    </row>
    <row r="471" spans="1:7" x14ac:dyDescent="0.2">
      <c r="A471" t="s">
        <v>599</v>
      </c>
      <c r="B471" t="s">
        <v>433</v>
      </c>
      <c r="C471">
        <v>102151.26</v>
      </c>
      <c r="D471">
        <v>99917.73</v>
      </c>
      <c r="E471">
        <v>0</v>
      </c>
      <c r="F471">
        <v>0</v>
      </c>
      <c r="G471">
        <v>2233.5300000000002</v>
      </c>
    </row>
    <row r="472" spans="1:7" x14ac:dyDescent="0.2">
      <c r="A472" t="s">
        <v>1519</v>
      </c>
      <c r="B472" t="s">
        <v>1134</v>
      </c>
      <c r="C472">
        <v>61013.78</v>
      </c>
      <c r="D472">
        <v>50261.65</v>
      </c>
      <c r="E472">
        <v>1093.0899999999999</v>
      </c>
      <c r="F472">
        <v>0</v>
      </c>
      <c r="G472">
        <v>9659.0400000000009</v>
      </c>
    </row>
    <row r="473" spans="1:7" x14ac:dyDescent="0.2">
      <c r="A473" t="s">
        <v>543</v>
      </c>
      <c r="B473" t="s">
        <v>330</v>
      </c>
      <c r="C473">
        <v>104720.4</v>
      </c>
      <c r="D473">
        <v>103026.87</v>
      </c>
      <c r="E473">
        <v>0</v>
      </c>
      <c r="F473">
        <v>0</v>
      </c>
      <c r="G473">
        <v>1693.53</v>
      </c>
    </row>
    <row r="474" spans="1:7" x14ac:dyDescent="0.2">
      <c r="A474" t="s">
        <v>1523</v>
      </c>
      <c r="B474" t="s">
        <v>1389</v>
      </c>
      <c r="C474">
        <v>60858.3</v>
      </c>
      <c r="D474">
        <v>60576.98</v>
      </c>
      <c r="E474">
        <v>281.32</v>
      </c>
      <c r="F474">
        <v>0</v>
      </c>
      <c r="G474">
        <v>0</v>
      </c>
    </row>
    <row r="475" spans="1:7" x14ac:dyDescent="0.2">
      <c r="A475" t="s">
        <v>236</v>
      </c>
      <c r="B475" t="s">
        <v>34</v>
      </c>
      <c r="C475">
        <v>129175.64</v>
      </c>
      <c r="D475">
        <v>99135.94</v>
      </c>
      <c r="E475">
        <v>12461.62</v>
      </c>
      <c r="F475">
        <v>8064</v>
      </c>
      <c r="G475">
        <v>9514.08</v>
      </c>
    </row>
    <row r="476" spans="1:7" x14ac:dyDescent="0.2">
      <c r="A476" t="s">
        <v>385</v>
      </c>
      <c r="B476" t="s">
        <v>24</v>
      </c>
      <c r="C476">
        <v>112474.81</v>
      </c>
      <c r="D476">
        <v>71996.38</v>
      </c>
      <c r="E476">
        <v>17414.95</v>
      </c>
      <c r="F476">
        <v>17472</v>
      </c>
      <c r="G476">
        <v>5591.48</v>
      </c>
    </row>
    <row r="477" spans="1:7" x14ac:dyDescent="0.2">
      <c r="A477" t="s">
        <v>1209</v>
      </c>
      <c r="B477" t="s">
        <v>330</v>
      </c>
      <c r="C477">
        <v>73009.8</v>
      </c>
      <c r="D477">
        <v>70139.8</v>
      </c>
      <c r="E477">
        <v>0</v>
      </c>
      <c r="F477">
        <v>0</v>
      </c>
      <c r="G477">
        <v>2870</v>
      </c>
    </row>
    <row r="478" spans="1:7" x14ac:dyDescent="0.2">
      <c r="A478" t="s">
        <v>1735</v>
      </c>
      <c r="B478" t="s">
        <v>1617</v>
      </c>
      <c r="C478">
        <v>50196.02</v>
      </c>
      <c r="D478">
        <v>46352.44</v>
      </c>
      <c r="E478">
        <v>3513.58</v>
      </c>
      <c r="F478">
        <v>0</v>
      </c>
      <c r="G478">
        <v>330</v>
      </c>
    </row>
    <row r="479" spans="1:7" x14ac:dyDescent="0.2">
      <c r="A479" t="s">
        <v>1228</v>
      </c>
      <c r="B479" t="s">
        <v>519</v>
      </c>
      <c r="C479">
        <v>72215.429999999993</v>
      </c>
      <c r="D479">
        <v>55585.97</v>
      </c>
      <c r="E479">
        <v>6685.47</v>
      </c>
      <c r="F479">
        <v>0</v>
      </c>
      <c r="G479">
        <v>9943.99</v>
      </c>
    </row>
    <row r="480" spans="1:7" x14ac:dyDescent="0.2">
      <c r="A480" t="s">
        <v>1460</v>
      </c>
      <c r="B480" t="s">
        <v>1028</v>
      </c>
      <c r="C480">
        <v>63170.6</v>
      </c>
      <c r="D480">
        <v>54583.07</v>
      </c>
      <c r="E480">
        <v>2245.8200000000002</v>
      </c>
      <c r="F480">
        <v>3234.41</v>
      </c>
      <c r="G480">
        <v>3107.3</v>
      </c>
    </row>
    <row r="481" spans="1:7" x14ac:dyDescent="0.2">
      <c r="A481" t="s">
        <v>1539</v>
      </c>
      <c r="B481" t="s">
        <v>1540</v>
      </c>
      <c r="C481">
        <v>60022.91</v>
      </c>
      <c r="D481">
        <v>60022.91</v>
      </c>
      <c r="E481">
        <v>0</v>
      </c>
      <c r="F481">
        <v>0</v>
      </c>
      <c r="G481">
        <v>0</v>
      </c>
    </row>
    <row r="482" spans="1:7" x14ac:dyDescent="0.2">
      <c r="A482" t="s">
        <v>568</v>
      </c>
      <c r="B482" t="s">
        <v>330</v>
      </c>
      <c r="C482">
        <v>103556.83</v>
      </c>
      <c r="D482">
        <v>102727.83</v>
      </c>
      <c r="E482">
        <v>0</v>
      </c>
      <c r="F482">
        <v>0</v>
      </c>
      <c r="G482">
        <v>829</v>
      </c>
    </row>
    <row r="483" spans="1:7" x14ac:dyDescent="0.2">
      <c r="A483" t="s">
        <v>468</v>
      </c>
      <c r="B483" t="s">
        <v>469</v>
      </c>
      <c r="C483">
        <v>107341.06</v>
      </c>
      <c r="D483">
        <v>107141.06</v>
      </c>
      <c r="E483">
        <v>0</v>
      </c>
      <c r="F483">
        <v>0</v>
      </c>
      <c r="G483">
        <v>200</v>
      </c>
    </row>
    <row r="484" spans="1:7" x14ac:dyDescent="0.2">
      <c r="A484" t="s">
        <v>1170</v>
      </c>
      <c r="B484" t="s">
        <v>519</v>
      </c>
      <c r="C484">
        <v>76184.61</v>
      </c>
      <c r="D484">
        <v>53441.53</v>
      </c>
      <c r="E484">
        <v>19856.52</v>
      </c>
      <c r="F484">
        <v>0</v>
      </c>
      <c r="G484">
        <v>2886.56</v>
      </c>
    </row>
    <row r="485" spans="1:7" x14ac:dyDescent="0.2">
      <c r="A485" t="s">
        <v>196</v>
      </c>
      <c r="B485" t="s">
        <v>130</v>
      </c>
      <c r="C485">
        <v>135284.44</v>
      </c>
      <c r="D485">
        <v>79619.240000000005</v>
      </c>
      <c r="E485">
        <v>11337.28</v>
      </c>
      <c r="F485">
        <v>12679</v>
      </c>
      <c r="G485">
        <v>31648.92</v>
      </c>
    </row>
    <row r="486" spans="1:7" x14ac:dyDescent="0.2">
      <c r="A486" t="s">
        <v>273</v>
      </c>
      <c r="B486" t="s">
        <v>130</v>
      </c>
      <c r="C486">
        <v>123976.31</v>
      </c>
      <c r="D486">
        <v>81328.41</v>
      </c>
      <c r="E486">
        <v>13880.69</v>
      </c>
      <c r="F486">
        <v>0</v>
      </c>
      <c r="G486">
        <v>28767.21</v>
      </c>
    </row>
    <row r="487" spans="1:7" x14ac:dyDescent="0.2">
      <c r="A487" t="s">
        <v>1569</v>
      </c>
      <c r="B487" t="s">
        <v>130</v>
      </c>
      <c r="C487">
        <v>58857.29</v>
      </c>
      <c r="D487">
        <v>45754.67</v>
      </c>
      <c r="E487">
        <v>6930.37</v>
      </c>
      <c r="F487">
        <v>0</v>
      </c>
      <c r="G487">
        <v>6172.25</v>
      </c>
    </row>
    <row r="488" spans="1:7" x14ac:dyDescent="0.2">
      <c r="A488" t="s">
        <v>646</v>
      </c>
      <c r="B488" t="s">
        <v>378</v>
      </c>
      <c r="C488">
        <v>100242.75</v>
      </c>
      <c r="D488">
        <v>99473.61</v>
      </c>
      <c r="E488">
        <v>0</v>
      </c>
      <c r="F488">
        <v>0</v>
      </c>
      <c r="G488">
        <v>769.14</v>
      </c>
    </row>
    <row r="489" spans="1:7" x14ac:dyDescent="0.2">
      <c r="A489" t="s">
        <v>745</v>
      </c>
      <c r="B489" t="s">
        <v>378</v>
      </c>
      <c r="C489">
        <v>96184</v>
      </c>
      <c r="D489">
        <v>95745</v>
      </c>
      <c r="E489">
        <v>0</v>
      </c>
      <c r="F489">
        <v>0</v>
      </c>
      <c r="G489">
        <v>439</v>
      </c>
    </row>
    <row r="490" spans="1:7" x14ac:dyDescent="0.2">
      <c r="A490" t="s">
        <v>948</v>
      </c>
      <c r="B490" t="s">
        <v>378</v>
      </c>
      <c r="C490">
        <v>85914.11</v>
      </c>
      <c r="D490">
        <v>85863.57</v>
      </c>
      <c r="E490">
        <v>0</v>
      </c>
      <c r="F490">
        <v>0</v>
      </c>
      <c r="G490">
        <v>50.54</v>
      </c>
    </row>
    <row r="491" spans="1:7" x14ac:dyDescent="0.2">
      <c r="A491" t="s">
        <v>1001</v>
      </c>
      <c r="B491" t="s">
        <v>378</v>
      </c>
      <c r="C491">
        <v>82547.87</v>
      </c>
      <c r="D491">
        <v>81099.73</v>
      </c>
      <c r="E491">
        <v>0</v>
      </c>
      <c r="F491">
        <v>0</v>
      </c>
      <c r="G491">
        <v>1448.14</v>
      </c>
    </row>
    <row r="492" spans="1:7" x14ac:dyDescent="0.2">
      <c r="A492" t="s">
        <v>1708</v>
      </c>
      <c r="B492" t="s">
        <v>1709</v>
      </c>
      <c r="C492">
        <v>52096.08</v>
      </c>
      <c r="D492">
        <v>50971.08</v>
      </c>
      <c r="E492">
        <v>1125</v>
      </c>
      <c r="F492">
        <v>0</v>
      </c>
      <c r="G492">
        <v>0</v>
      </c>
    </row>
    <row r="493" spans="1:7" x14ac:dyDescent="0.2">
      <c r="A493" t="s">
        <v>634</v>
      </c>
      <c r="B493" t="s">
        <v>635</v>
      </c>
      <c r="C493">
        <v>100707.78</v>
      </c>
      <c r="D493">
        <v>100527.78</v>
      </c>
      <c r="E493">
        <v>0</v>
      </c>
      <c r="F493">
        <v>0</v>
      </c>
      <c r="G493">
        <v>180</v>
      </c>
    </row>
    <row r="494" spans="1:7" x14ac:dyDescent="0.2">
      <c r="A494" t="s">
        <v>597</v>
      </c>
      <c r="B494" t="s">
        <v>24</v>
      </c>
      <c r="C494">
        <v>102239.41</v>
      </c>
      <c r="D494">
        <v>84639.12</v>
      </c>
      <c r="E494">
        <v>1416.79</v>
      </c>
      <c r="F494">
        <v>8144</v>
      </c>
      <c r="G494">
        <v>8039.5</v>
      </c>
    </row>
    <row r="495" spans="1:7" x14ac:dyDescent="0.2">
      <c r="A495" t="s">
        <v>1251</v>
      </c>
      <c r="B495" t="s">
        <v>1252</v>
      </c>
      <c r="C495">
        <v>71034.58</v>
      </c>
      <c r="D495">
        <v>71034.58</v>
      </c>
      <c r="E495">
        <v>0</v>
      </c>
      <c r="F495">
        <v>0</v>
      </c>
      <c r="G495">
        <v>0</v>
      </c>
    </row>
    <row r="496" spans="1:7" x14ac:dyDescent="0.2">
      <c r="A496" t="s">
        <v>832</v>
      </c>
      <c r="B496" t="s">
        <v>330</v>
      </c>
      <c r="C496">
        <v>92582.43</v>
      </c>
      <c r="D496">
        <v>92582.43</v>
      </c>
      <c r="E496">
        <v>0</v>
      </c>
      <c r="F496">
        <v>0</v>
      </c>
      <c r="G496">
        <v>0</v>
      </c>
    </row>
    <row r="497" spans="1:7" x14ac:dyDescent="0.2">
      <c r="A497" t="s">
        <v>1567</v>
      </c>
      <c r="B497" t="s">
        <v>330</v>
      </c>
      <c r="C497">
        <v>58966.07</v>
      </c>
      <c r="D497">
        <v>58166.93</v>
      </c>
      <c r="E497">
        <v>0</v>
      </c>
      <c r="F497">
        <v>0</v>
      </c>
      <c r="G497">
        <v>799.14</v>
      </c>
    </row>
    <row r="498" spans="1:7" x14ac:dyDescent="0.2">
      <c r="A498" t="s">
        <v>479</v>
      </c>
      <c r="B498" t="s">
        <v>448</v>
      </c>
      <c r="C498">
        <v>107052.11</v>
      </c>
      <c r="D498">
        <v>102426.79</v>
      </c>
      <c r="E498">
        <v>0</v>
      </c>
      <c r="F498">
        <v>0</v>
      </c>
      <c r="G498">
        <v>4625.32</v>
      </c>
    </row>
    <row r="499" spans="1:7" x14ac:dyDescent="0.2">
      <c r="A499" t="s">
        <v>1383</v>
      </c>
      <c r="B499" t="s">
        <v>1384</v>
      </c>
      <c r="C499">
        <v>66198.44</v>
      </c>
      <c r="D499">
        <v>45642.41</v>
      </c>
      <c r="E499">
        <v>9558.41</v>
      </c>
      <c r="F499">
        <v>0</v>
      </c>
      <c r="G499">
        <v>10997.62</v>
      </c>
    </row>
    <row r="500" spans="1:7" x14ac:dyDescent="0.2">
      <c r="A500" t="s">
        <v>327</v>
      </c>
      <c r="B500" t="s">
        <v>265</v>
      </c>
      <c r="C500">
        <v>119518.66</v>
      </c>
      <c r="D500">
        <v>119389.62</v>
      </c>
      <c r="E500">
        <v>0</v>
      </c>
      <c r="F500">
        <v>0</v>
      </c>
      <c r="G500">
        <v>129.04</v>
      </c>
    </row>
    <row r="501" spans="1:7" x14ac:dyDescent="0.2">
      <c r="A501" t="s">
        <v>1526</v>
      </c>
      <c r="B501" t="s">
        <v>1527</v>
      </c>
      <c r="C501">
        <v>60703.43</v>
      </c>
      <c r="D501">
        <v>58482.25</v>
      </c>
      <c r="E501">
        <v>0</v>
      </c>
      <c r="F501">
        <v>0</v>
      </c>
      <c r="G501">
        <v>2221.1799999999998</v>
      </c>
    </row>
    <row r="502" spans="1:7" x14ac:dyDescent="0.2">
      <c r="A502" t="s">
        <v>1620</v>
      </c>
      <c r="B502" t="s">
        <v>1621</v>
      </c>
      <c r="C502">
        <v>56041.82</v>
      </c>
      <c r="D502">
        <v>50412.05</v>
      </c>
      <c r="E502">
        <v>0</v>
      </c>
      <c r="F502">
        <v>0</v>
      </c>
      <c r="G502">
        <v>5629.77</v>
      </c>
    </row>
    <row r="503" spans="1:7" x14ac:dyDescent="0.2">
      <c r="A503" t="s">
        <v>214</v>
      </c>
      <c r="B503" t="s">
        <v>130</v>
      </c>
      <c r="C503">
        <v>132608.46</v>
      </c>
      <c r="D503">
        <v>81069.84</v>
      </c>
      <c r="E503">
        <v>14568.21</v>
      </c>
      <c r="F503">
        <v>4733.5</v>
      </c>
      <c r="G503">
        <v>32236.91</v>
      </c>
    </row>
    <row r="504" spans="1:7" x14ac:dyDescent="0.2">
      <c r="A504" t="s">
        <v>623</v>
      </c>
      <c r="B504" t="s">
        <v>448</v>
      </c>
      <c r="C504">
        <v>101074.13</v>
      </c>
      <c r="D504">
        <v>98213.01</v>
      </c>
      <c r="E504">
        <v>0</v>
      </c>
      <c r="F504">
        <v>0</v>
      </c>
      <c r="G504">
        <v>2861.12</v>
      </c>
    </row>
    <row r="505" spans="1:7" x14ac:dyDescent="0.2">
      <c r="A505" t="s">
        <v>708</v>
      </c>
      <c r="B505" t="s">
        <v>404</v>
      </c>
      <c r="C505">
        <v>97682.42</v>
      </c>
      <c r="D505">
        <v>96094.42</v>
      </c>
      <c r="E505">
        <v>0</v>
      </c>
      <c r="F505">
        <v>0</v>
      </c>
      <c r="G505">
        <v>1588</v>
      </c>
    </row>
    <row r="506" spans="1:7" x14ac:dyDescent="0.2">
      <c r="A506" t="s">
        <v>560</v>
      </c>
      <c r="B506" t="s">
        <v>448</v>
      </c>
      <c r="C506">
        <v>104007.16</v>
      </c>
      <c r="D506">
        <v>94245</v>
      </c>
      <c r="E506">
        <v>0</v>
      </c>
      <c r="F506">
        <v>0</v>
      </c>
      <c r="G506">
        <v>9762.16</v>
      </c>
    </row>
    <row r="507" spans="1:7" x14ac:dyDescent="0.2">
      <c r="A507" t="s">
        <v>366</v>
      </c>
      <c r="B507" t="s">
        <v>283</v>
      </c>
      <c r="C507">
        <v>115620.04</v>
      </c>
      <c r="D507">
        <v>113955.17</v>
      </c>
      <c r="E507">
        <v>0</v>
      </c>
      <c r="F507">
        <v>0</v>
      </c>
      <c r="G507">
        <v>1664.87</v>
      </c>
    </row>
    <row r="508" spans="1:7" x14ac:dyDescent="0.2">
      <c r="A508" t="s">
        <v>1056</v>
      </c>
      <c r="B508" t="s">
        <v>330</v>
      </c>
      <c r="C508">
        <v>79591.11</v>
      </c>
      <c r="D508">
        <v>79524.78</v>
      </c>
      <c r="E508">
        <v>0</v>
      </c>
      <c r="F508">
        <v>0</v>
      </c>
      <c r="G508">
        <v>66.33</v>
      </c>
    </row>
    <row r="509" spans="1:7" x14ac:dyDescent="0.2">
      <c r="A509" t="s">
        <v>33</v>
      </c>
      <c r="B509" t="s">
        <v>34</v>
      </c>
      <c r="C509">
        <v>237330.34</v>
      </c>
      <c r="D509">
        <v>111376.19</v>
      </c>
      <c r="E509">
        <v>51923.35</v>
      </c>
      <c r="F509">
        <v>57034.5</v>
      </c>
      <c r="G509">
        <v>16996.3</v>
      </c>
    </row>
    <row r="510" spans="1:7" x14ac:dyDescent="0.2">
      <c r="A510" t="s">
        <v>1397</v>
      </c>
      <c r="B510" t="s">
        <v>1398</v>
      </c>
      <c r="C510">
        <v>65625.08</v>
      </c>
      <c r="D510">
        <v>65625.08</v>
      </c>
      <c r="E510">
        <v>0</v>
      </c>
      <c r="F510">
        <v>0</v>
      </c>
      <c r="G510">
        <v>0</v>
      </c>
    </row>
    <row r="511" spans="1:7" x14ac:dyDescent="0.2">
      <c r="A511" t="s">
        <v>1727</v>
      </c>
      <c r="B511" t="s">
        <v>1712</v>
      </c>
      <c r="C511">
        <v>50727.78</v>
      </c>
      <c r="D511">
        <v>48359.18</v>
      </c>
      <c r="E511">
        <v>0</v>
      </c>
      <c r="F511">
        <v>0</v>
      </c>
      <c r="G511">
        <v>2368.6</v>
      </c>
    </row>
    <row r="512" spans="1:7" x14ac:dyDescent="0.2">
      <c r="A512" t="s">
        <v>390</v>
      </c>
      <c r="B512" t="s">
        <v>391</v>
      </c>
      <c r="C512">
        <v>112136.53</v>
      </c>
      <c r="D512">
        <v>112136.53</v>
      </c>
      <c r="E512">
        <v>0</v>
      </c>
      <c r="F512">
        <v>0</v>
      </c>
      <c r="G512">
        <v>0</v>
      </c>
    </row>
    <row r="513" spans="1:7" x14ac:dyDescent="0.2">
      <c r="A513" t="s">
        <v>127</v>
      </c>
      <c r="B513" t="s">
        <v>24</v>
      </c>
      <c r="C513">
        <v>154373.01</v>
      </c>
      <c r="D513">
        <v>86858.73</v>
      </c>
      <c r="E513">
        <v>13713.04</v>
      </c>
      <c r="F513">
        <v>45497.5</v>
      </c>
      <c r="G513">
        <v>8303.74</v>
      </c>
    </row>
    <row r="514" spans="1:7" x14ac:dyDescent="0.2">
      <c r="A514" t="s">
        <v>773</v>
      </c>
      <c r="B514" t="s">
        <v>774</v>
      </c>
      <c r="C514">
        <v>95006.01</v>
      </c>
      <c r="D514">
        <v>53485</v>
      </c>
      <c r="E514">
        <v>27036.080000000002</v>
      </c>
      <c r="F514">
        <v>0</v>
      </c>
      <c r="G514">
        <v>14484.93</v>
      </c>
    </row>
    <row r="515" spans="1:7" x14ac:dyDescent="0.2">
      <c r="A515" t="s">
        <v>1596</v>
      </c>
      <c r="B515" t="s">
        <v>1287</v>
      </c>
      <c r="C515">
        <v>57860.12</v>
      </c>
      <c r="D515">
        <v>57860.12</v>
      </c>
      <c r="E515">
        <v>0</v>
      </c>
      <c r="F515">
        <v>0</v>
      </c>
      <c r="G515">
        <v>0</v>
      </c>
    </row>
    <row r="516" spans="1:7" x14ac:dyDescent="0.2">
      <c r="A516" t="s">
        <v>1334</v>
      </c>
      <c r="B516" t="s">
        <v>1335</v>
      </c>
      <c r="C516">
        <v>67674.45</v>
      </c>
      <c r="D516">
        <v>66262.5</v>
      </c>
      <c r="E516">
        <v>1411.95</v>
      </c>
      <c r="F516">
        <v>0</v>
      </c>
      <c r="G516">
        <v>0</v>
      </c>
    </row>
    <row r="517" spans="1:7" x14ac:dyDescent="0.2">
      <c r="A517" t="s">
        <v>290</v>
      </c>
      <c r="B517" t="s">
        <v>291</v>
      </c>
      <c r="C517">
        <v>122164.63</v>
      </c>
      <c r="D517">
        <v>122164.63</v>
      </c>
      <c r="E517">
        <v>0</v>
      </c>
      <c r="F517">
        <v>0</v>
      </c>
      <c r="G517">
        <v>0</v>
      </c>
    </row>
    <row r="518" spans="1:7" x14ac:dyDescent="0.2">
      <c r="A518" t="s">
        <v>645</v>
      </c>
      <c r="B518" t="s">
        <v>404</v>
      </c>
      <c r="C518">
        <v>100273.05</v>
      </c>
      <c r="D518">
        <v>89742.3</v>
      </c>
      <c r="E518">
        <v>0</v>
      </c>
      <c r="F518">
        <v>0</v>
      </c>
      <c r="G518">
        <v>10530.75</v>
      </c>
    </row>
    <row r="519" spans="1:7" x14ac:dyDescent="0.2">
      <c r="A519" t="s">
        <v>86</v>
      </c>
      <c r="B519" t="s">
        <v>49</v>
      </c>
      <c r="C519">
        <v>180616.61</v>
      </c>
      <c r="D519">
        <v>109726.05</v>
      </c>
      <c r="E519">
        <v>25195.52</v>
      </c>
      <c r="F519">
        <v>1891</v>
      </c>
      <c r="G519">
        <v>43804.04</v>
      </c>
    </row>
    <row r="520" spans="1:7" x14ac:dyDescent="0.2">
      <c r="A520" t="s">
        <v>169</v>
      </c>
      <c r="B520" t="s">
        <v>170</v>
      </c>
      <c r="C520">
        <v>142720.99</v>
      </c>
      <c r="D520">
        <v>142120.99</v>
      </c>
      <c r="E520">
        <v>0</v>
      </c>
      <c r="F520">
        <v>0</v>
      </c>
      <c r="G520">
        <v>600</v>
      </c>
    </row>
    <row r="521" spans="1:7" x14ac:dyDescent="0.2">
      <c r="A521" t="s">
        <v>318</v>
      </c>
      <c r="B521" t="s">
        <v>106</v>
      </c>
      <c r="C521">
        <v>120536.24</v>
      </c>
      <c r="D521">
        <v>119366.24</v>
      </c>
      <c r="E521">
        <v>0</v>
      </c>
      <c r="F521">
        <v>0</v>
      </c>
      <c r="G521">
        <v>1170</v>
      </c>
    </row>
    <row r="522" spans="1:7" x14ac:dyDescent="0.2">
      <c r="A522" t="s">
        <v>275</v>
      </c>
      <c r="B522" t="s">
        <v>24</v>
      </c>
      <c r="C522">
        <v>123833.56</v>
      </c>
      <c r="D522">
        <v>71996.36</v>
      </c>
      <c r="E522">
        <v>12052.72</v>
      </c>
      <c r="F522">
        <v>34093</v>
      </c>
      <c r="G522">
        <v>5691.48</v>
      </c>
    </row>
    <row r="523" spans="1:7" x14ac:dyDescent="0.2">
      <c r="A523" t="s">
        <v>133</v>
      </c>
      <c r="B523" t="s">
        <v>49</v>
      </c>
      <c r="C523">
        <v>151904.29</v>
      </c>
      <c r="D523">
        <v>108376.74</v>
      </c>
      <c r="E523">
        <v>3780.49</v>
      </c>
      <c r="F523">
        <v>1667.5</v>
      </c>
      <c r="G523">
        <v>38079.56</v>
      </c>
    </row>
    <row r="524" spans="1:7" x14ac:dyDescent="0.2">
      <c r="A524" t="s">
        <v>1293</v>
      </c>
      <c r="B524" t="s">
        <v>378</v>
      </c>
      <c r="C524">
        <v>69521.210000000006</v>
      </c>
      <c r="D524">
        <v>69021.210000000006</v>
      </c>
      <c r="E524">
        <v>0</v>
      </c>
      <c r="F524">
        <v>0</v>
      </c>
      <c r="G524">
        <v>500</v>
      </c>
    </row>
    <row r="525" spans="1:7" x14ac:dyDescent="0.2">
      <c r="A525" t="s">
        <v>671</v>
      </c>
      <c r="B525" t="s">
        <v>448</v>
      </c>
      <c r="C525">
        <v>99217.37</v>
      </c>
      <c r="D525">
        <v>98217.37</v>
      </c>
      <c r="E525">
        <v>0</v>
      </c>
      <c r="F525">
        <v>0</v>
      </c>
      <c r="G525">
        <v>1000</v>
      </c>
    </row>
    <row r="526" spans="1:7" x14ac:dyDescent="0.2">
      <c r="A526" t="s">
        <v>1199</v>
      </c>
      <c r="B526" t="s">
        <v>378</v>
      </c>
      <c r="C526">
        <v>73769.67</v>
      </c>
      <c r="D526">
        <v>73769.67</v>
      </c>
      <c r="E526">
        <v>0</v>
      </c>
      <c r="F526">
        <v>0</v>
      </c>
      <c r="G526">
        <v>0</v>
      </c>
    </row>
    <row r="527" spans="1:7" x14ac:dyDescent="0.2">
      <c r="A527" t="s">
        <v>1580</v>
      </c>
      <c r="B527" t="s">
        <v>1227</v>
      </c>
      <c r="C527">
        <v>58532.28</v>
      </c>
      <c r="D527">
        <v>58172.28</v>
      </c>
      <c r="E527">
        <v>0</v>
      </c>
      <c r="F527">
        <v>0</v>
      </c>
      <c r="G527">
        <v>360</v>
      </c>
    </row>
    <row r="528" spans="1:7" x14ac:dyDescent="0.2">
      <c r="A528" t="s">
        <v>310</v>
      </c>
      <c r="B528" t="s">
        <v>242</v>
      </c>
      <c r="C528">
        <v>120876.26</v>
      </c>
      <c r="D528">
        <v>119378.73</v>
      </c>
      <c r="E528">
        <v>0</v>
      </c>
      <c r="F528">
        <v>0</v>
      </c>
      <c r="G528">
        <v>1497.53</v>
      </c>
    </row>
    <row r="529" spans="1:7" x14ac:dyDescent="0.2">
      <c r="A529" t="s">
        <v>178</v>
      </c>
      <c r="B529" t="s">
        <v>106</v>
      </c>
      <c r="C529">
        <v>140733.15</v>
      </c>
      <c r="D529">
        <v>139159.35</v>
      </c>
      <c r="E529">
        <v>0</v>
      </c>
      <c r="F529">
        <v>0</v>
      </c>
      <c r="G529">
        <v>1573.8</v>
      </c>
    </row>
    <row r="530" spans="1:7" x14ac:dyDescent="0.2">
      <c r="A530" t="s">
        <v>1502</v>
      </c>
      <c r="B530" t="s">
        <v>1492</v>
      </c>
      <c r="C530">
        <v>61728.69</v>
      </c>
      <c r="D530">
        <v>57478.73</v>
      </c>
      <c r="E530">
        <v>0</v>
      </c>
      <c r="F530">
        <v>0</v>
      </c>
      <c r="G530">
        <v>4249.96</v>
      </c>
    </row>
    <row r="531" spans="1:7" x14ac:dyDescent="0.2">
      <c r="A531" t="s">
        <v>926</v>
      </c>
      <c r="B531" t="s">
        <v>830</v>
      </c>
      <c r="C531">
        <v>87534.84</v>
      </c>
      <c r="D531">
        <v>86234.84</v>
      </c>
      <c r="E531">
        <v>0</v>
      </c>
      <c r="F531">
        <v>0</v>
      </c>
      <c r="G531">
        <v>1300</v>
      </c>
    </row>
    <row r="532" spans="1:7" x14ac:dyDescent="0.2">
      <c r="A532" t="s">
        <v>685</v>
      </c>
      <c r="B532" t="s">
        <v>330</v>
      </c>
      <c r="C532">
        <v>98719.16</v>
      </c>
      <c r="D532">
        <v>96845</v>
      </c>
      <c r="E532">
        <v>0</v>
      </c>
      <c r="F532">
        <v>0</v>
      </c>
      <c r="G532">
        <v>1874.16</v>
      </c>
    </row>
    <row r="533" spans="1:7" x14ac:dyDescent="0.2">
      <c r="A533" t="s">
        <v>1649</v>
      </c>
      <c r="B533" t="s">
        <v>1223</v>
      </c>
      <c r="C533">
        <v>55231.82</v>
      </c>
      <c r="D533">
        <v>41207.75</v>
      </c>
      <c r="E533">
        <v>6494.73</v>
      </c>
      <c r="F533">
        <v>0</v>
      </c>
      <c r="G533">
        <v>7529.34</v>
      </c>
    </row>
    <row r="534" spans="1:7" x14ac:dyDescent="0.2">
      <c r="A534" t="s">
        <v>1394</v>
      </c>
      <c r="B534" t="s">
        <v>1028</v>
      </c>
      <c r="C534">
        <v>65694.62</v>
      </c>
      <c r="D534">
        <v>49213.74</v>
      </c>
      <c r="E534">
        <v>10173.18</v>
      </c>
      <c r="F534">
        <v>900</v>
      </c>
      <c r="G534">
        <v>5407.7</v>
      </c>
    </row>
    <row r="535" spans="1:7" x14ac:dyDescent="0.2">
      <c r="A535" t="s">
        <v>206</v>
      </c>
      <c r="B535" t="s">
        <v>130</v>
      </c>
      <c r="C535">
        <v>133961.84</v>
      </c>
      <c r="D535">
        <v>84620.26</v>
      </c>
      <c r="E535">
        <v>14583.34</v>
      </c>
      <c r="F535">
        <v>2495</v>
      </c>
      <c r="G535">
        <v>32263.24</v>
      </c>
    </row>
    <row r="536" spans="1:7" x14ac:dyDescent="0.2">
      <c r="A536" t="s">
        <v>1089</v>
      </c>
      <c r="B536" t="s">
        <v>1090</v>
      </c>
      <c r="C536">
        <v>78487.679999999993</v>
      </c>
      <c r="D536">
        <v>77352.800000000003</v>
      </c>
      <c r="E536">
        <v>0</v>
      </c>
      <c r="F536">
        <v>0</v>
      </c>
      <c r="G536">
        <v>1134.8800000000001</v>
      </c>
    </row>
    <row r="537" spans="1:7" x14ac:dyDescent="0.2">
      <c r="A537" t="s">
        <v>1563</v>
      </c>
      <c r="B537" t="s">
        <v>130</v>
      </c>
      <c r="C537">
        <v>59245.57</v>
      </c>
      <c r="D537">
        <v>45754.65</v>
      </c>
      <c r="E537">
        <v>7318.67</v>
      </c>
      <c r="F537">
        <v>0</v>
      </c>
      <c r="G537">
        <v>6172.25</v>
      </c>
    </row>
    <row r="538" spans="1:7" x14ac:dyDescent="0.2">
      <c r="A538" t="s">
        <v>266</v>
      </c>
      <c r="B538" t="s">
        <v>130</v>
      </c>
      <c r="C538">
        <v>124518.64</v>
      </c>
      <c r="D538">
        <v>78049.490000000005</v>
      </c>
      <c r="E538">
        <v>14372.62</v>
      </c>
      <c r="F538">
        <v>5199</v>
      </c>
      <c r="G538">
        <v>26897.53</v>
      </c>
    </row>
    <row r="539" spans="1:7" x14ac:dyDescent="0.2">
      <c r="A539" t="s">
        <v>1200</v>
      </c>
      <c r="B539" t="s">
        <v>1201</v>
      </c>
      <c r="C539">
        <v>73692.039999999994</v>
      </c>
      <c r="D539">
        <v>70138.98</v>
      </c>
      <c r="E539">
        <v>0</v>
      </c>
      <c r="F539">
        <v>0</v>
      </c>
      <c r="G539">
        <v>3553.06</v>
      </c>
    </row>
    <row r="540" spans="1:7" x14ac:dyDescent="0.2">
      <c r="A540" t="s">
        <v>1454</v>
      </c>
      <c r="B540" t="s">
        <v>404</v>
      </c>
      <c r="C540">
        <v>63514.23</v>
      </c>
      <c r="D540">
        <v>63239.23</v>
      </c>
      <c r="E540">
        <v>0</v>
      </c>
      <c r="F540">
        <v>0</v>
      </c>
      <c r="G540">
        <v>275</v>
      </c>
    </row>
    <row r="541" spans="1:7" x14ac:dyDescent="0.2">
      <c r="A541" t="s">
        <v>1295</v>
      </c>
      <c r="B541" t="s">
        <v>1024</v>
      </c>
      <c r="C541">
        <v>69453.08</v>
      </c>
      <c r="D541">
        <v>59186.02</v>
      </c>
      <c r="E541">
        <v>0</v>
      </c>
      <c r="F541">
        <v>0</v>
      </c>
      <c r="G541">
        <v>10267.06</v>
      </c>
    </row>
    <row r="542" spans="1:7" x14ac:dyDescent="0.2">
      <c r="A542" t="s">
        <v>225</v>
      </c>
      <c r="B542" t="s">
        <v>24</v>
      </c>
      <c r="C542">
        <v>130726.84</v>
      </c>
      <c r="D542">
        <v>77270.899999999994</v>
      </c>
      <c r="E542">
        <v>1264.32</v>
      </c>
      <c r="F542">
        <v>46041</v>
      </c>
      <c r="G542">
        <v>6150.62</v>
      </c>
    </row>
    <row r="543" spans="1:7" x14ac:dyDescent="0.2">
      <c r="A543" t="s">
        <v>1442</v>
      </c>
      <c r="B543" t="s">
        <v>1340</v>
      </c>
      <c r="C543">
        <v>64003.91</v>
      </c>
      <c r="D543">
        <v>51677.69</v>
      </c>
      <c r="E543">
        <v>1375.89</v>
      </c>
      <c r="F543">
        <v>0</v>
      </c>
      <c r="G543">
        <v>10950.33</v>
      </c>
    </row>
    <row r="544" spans="1:7" x14ac:dyDescent="0.2">
      <c r="A544" t="s">
        <v>1040</v>
      </c>
      <c r="B544" t="s">
        <v>1041</v>
      </c>
      <c r="C544">
        <v>80404.03</v>
      </c>
      <c r="D544">
        <v>52892.66</v>
      </c>
      <c r="E544">
        <v>14166.38</v>
      </c>
      <c r="F544">
        <v>0</v>
      </c>
      <c r="G544">
        <v>13344.99</v>
      </c>
    </row>
    <row r="545" spans="1:7" x14ac:dyDescent="0.2">
      <c r="A545" t="s">
        <v>25</v>
      </c>
      <c r="B545" t="s">
        <v>26</v>
      </c>
      <c r="C545">
        <v>254243.23</v>
      </c>
      <c r="D545">
        <v>139766.59</v>
      </c>
      <c r="E545">
        <v>43120.74</v>
      </c>
      <c r="F545">
        <v>6944.5</v>
      </c>
      <c r="G545">
        <v>64411.4</v>
      </c>
    </row>
    <row r="546" spans="1:7" x14ac:dyDescent="0.2">
      <c r="A546" t="s">
        <v>1624</v>
      </c>
      <c r="B546" t="s">
        <v>519</v>
      </c>
      <c r="C546">
        <v>55879.48</v>
      </c>
      <c r="D546">
        <v>32372.71</v>
      </c>
      <c r="E546">
        <v>11178.03</v>
      </c>
      <c r="F546">
        <v>0</v>
      </c>
      <c r="G546">
        <v>12328.74</v>
      </c>
    </row>
    <row r="547" spans="1:7" x14ac:dyDescent="0.2">
      <c r="A547" t="s">
        <v>656</v>
      </c>
      <c r="B547" t="s">
        <v>657</v>
      </c>
      <c r="C547">
        <v>99890.44</v>
      </c>
      <c r="D547">
        <v>82534.45</v>
      </c>
      <c r="E547">
        <v>121.61</v>
      </c>
      <c r="F547">
        <v>0</v>
      </c>
      <c r="G547">
        <v>17234.38</v>
      </c>
    </row>
    <row r="548" spans="1:7" x14ac:dyDescent="0.2">
      <c r="A548" t="s">
        <v>168</v>
      </c>
      <c r="B548" t="s">
        <v>65</v>
      </c>
      <c r="C548">
        <v>142916.91</v>
      </c>
      <c r="D548">
        <v>97405.64</v>
      </c>
      <c r="E548">
        <v>8569.2099999999991</v>
      </c>
      <c r="F548">
        <v>0</v>
      </c>
      <c r="G548">
        <v>36942.06</v>
      </c>
    </row>
    <row r="549" spans="1:7" x14ac:dyDescent="0.2">
      <c r="A549" t="s">
        <v>873</v>
      </c>
      <c r="B549" t="s">
        <v>761</v>
      </c>
      <c r="C549">
        <v>90931.12</v>
      </c>
      <c r="D549">
        <v>70458.95</v>
      </c>
      <c r="E549">
        <v>4313.01</v>
      </c>
      <c r="F549">
        <v>0</v>
      </c>
      <c r="G549">
        <v>16159.16</v>
      </c>
    </row>
    <row r="550" spans="1:7" x14ac:dyDescent="0.2">
      <c r="A550" t="s">
        <v>252</v>
      </c>
      <c r="B550" t="s">
        <v>130</v>
      </c>
      <c r="C550">
        <v>126912.64</v>
      </c>
      <c r="D550">
        <v>82382.94</v>
      </c>
      <c r="E550">
        <v>12427.33</v>
      </c>
      <c r="F550">
        <v>1485</v>
      </c>
      <c r="G550">
        <v>30617.37</v>
      </c>
    </row>
    <row r="551" spans="1:7" x14ac:dyDescent="0.2">
      <c r="A551" t="s">
        <v>482</v>
      </c>
      <c r="B551" t="s">
        <v>130</v>
      </c>
      <c r="C551">
        <v>106676.28</v>
      </c>
      <c r="D551">
        <v>78411.899999999994</v>
      </c>
      <c r="E551">
        <v>1911.56</v>
      </c>
      <c r="F551">
        <v>0</v>
      </c>
      <c r="G551">
        <v>26352.82</v>
      </c>
    </row>
    <row r="552" spans="1:7" x14ac:dyDescent="0.2">
      <c r="A552" t="s">
        <v>1086</v>
      </c>
      <c r="B552" t="s">
        <v>378</v>
      </c>
      <c r="C552">
        <v>78679.259999999995</v>
      </c>
      <c r="D552">
        <v>78679.259999999995</v>
      </c>
      <c r="E552">
        <v>0</v>
      </c>
      <c r="F552">
        <v>0</v>
      </c>
      <c r="G552">
        <v>0</v>
      </c>
    </row>
    <row r="553" spans="1:7" x14ac:dyDescent="0.2">
      <c r="A553" t="s">
        <v>1141</v>
      </c>
      <c r="B553" t="s">
        <v>378</v>
      </c>
      <c r="C553">
        <v>76757.3</v>
      </c>
      <c r="D553">
        <v>73714.3</v>
      </c>
      <c r="E553">
        <v>0</v>
      </c>
      <c r="F553">
        <v>0</v>
      </c>
      <c r="G553">
        <v>3043</v>
      </c>
    </row>
    <row r="554" spans="1:7" x14ac:dyDescent="0.2">
      <c r="A554" t="s">
        <v>1204</v>
      </c>
      <c r="B554" t="s">
        <v>904</v>
      </c>
      <c r="C554">
        <v>73226.03</v>
      </c>
      <c r="D554">
        <v>54461.47</v>
      </c>
      <c r="E554">
        <v>7405.17</v>
      </c>
      <c r="F554">
        <v>0</v>
      </c>
      <c r="G554">
        <v>11359.39</v>
      </c>
    </row>
    <row r="555" spans="1:7" x14ac:dyDescent="0.2">
      <c r="A555" t="s">
        <v>1100</v>
      </c>
      <c r="B555" t="s">
        <v>1101</v>
      </c>
      <c r="C555">
        <v>78255.929999999993</v>
      </c>
      <c r="D555">
        <v>76826.23</v>
      </c>
      <c r="E555">
        <v>0</v>
      </c>
      <c r="F555">
        <v>0</v>
      </c>
      <c r="G555">
        <v>1429.7</v>
      </c>
    </row>
    <row r="556" spans="1:7" x14ac:dyDescent="0.2">
      <c r="A556" t="s">
        <v>1163</v>
      </c>
      <c r="B556" t="s">
        <v>472</v>
      </c>
      <c r="C556">
        <v>76294.28</v>
      </c>
      <c r="D556">
        <v>49097.35</v>
      </c>
      <c r="E556">
        <v>15321.79</v>
      </c>
      <c r="F556">
        <v>0</v>
      </c>
      <c r="G556">
        <v>11875.14</v>
      </c>
    </row>
    <row r="557" spans="1:7" x14ac:dyDescent="0.2">
      <c r="A557" t="s">
        <v>674</v>
      </c>
      <c r="B557" t="s">
        <v>472</v>
      </c>
      <c r="C557">
        <v>99102.82</v>
      </c>
      <c r="D557">
        <v>55585.72</v>
      </c>
      <c r="E557">
        <v>30484.91</v>
      </c>
      <c r="F557">
        <v>0</v>
      </c>
      <c r="G557">
        <v>13032.19</v>
      </c>
    </row>
    <row r="558" spans="1:7" x14ac:dyDescent="0.2">
      <c r="A558" t="s">
        <v>1587</v>
      </c>
      <c r="B558" t="s">
        <v>1028</v>
      </c>
      <c r="C558">
        <v>58261.66</v>
      </c>
      <c r="D558">
        <v>52549.35</v>
      </c>
      <c r="E558">
        <v>0</v>
      </c>
      <c r="F558">
        <v>1458.1</v>
      </c>
      <c r="G558">
        <v>4254.21</v>
      </c>
    </row>
    <row r="559" spans="1:7" x14ac:dyDescent="0.2">
      <c r="A559" t="s">
        <v>1275</v>
      </c>
      <c r="B559" t="s">
        <v>1276</v>
      </c>
      <c r="C559">
        <v>70169.990000000005</v>
      </c>
      <c r="D559">
        <v>58828.22</v>
      </c>
      <c r="E559">
        <v>1158.0899999999999</v>
      </c>
      <c r="F559">
        <v>0</v>
      </c>
      <c r="G559">
        <v>10183.68</v>
      </c>
    </row>
    <row r="560" spans="1:7" x14ac:dyDescent="0.2">
      <c r="A560" t="s">
        <v>352</v>
      </c>
      <c r="B560" t="s">
        <v>353</v>
      </c>
      <c r="C560">
        <v>117005.32</v>
      </c>
      <c r="D560">
        <v>112480.43</v>
      </c>
      <c r="E560">
        <v>0</v>
      </c>
      <c r="F560">
        <v>0</v>
      </c>
      <c r="G560">
        <v>4524.8900000000003</v>
      </c>
    </row>
    <row r="561" spans="1:7" x14ac:dyDescent="0.2">
      <c r="A561" t="s">
        <v>481</v>
      </c>
      <c r="B561" t="s">
        <v>404</v>
      </c>
      <c r="C561">
        <v>106904.47</v>
      </c>
      <c r="D561">
        <v>102477.81</v>
      </c>
      <c r="E561">
        <v>0</v>
      </c>
      <c r="F561">
        <v>0</v>
      </c>
      <c r="G561">
        <v>4426.66</v>
      </c>
    </row>
    <row r="562" spans="1:7" x14ac:dyDescent="0.2">
      <c r="A562" t="s">
        <v>1479</v>
      </c>
      <c r="B562" t="s">
        <v>378</v>
      </c>
      <c r="C562">
        <v>62248.89</v>
      </c>
      <c r="D562">
        <v>62086.89</v>
      </c>
      <c r="E562">
        <v>0</v>
      </c>
      <c r="F562">
        <v>0</v>
      </c>
      <c r="G562">
        <v>162</v>
      </c>
    </row>
    <row r="563" spans="1:7" x14ac:dyDescent="0.2">
      <c r="A563" t="s">
        <v>1354</v>
      </c>
      <c r="B563" t="s">
        <v>330</v>
      </c>
      <c r="C563">
        <v>66821.88</v>
      </c>
      <c r="D563">
        <v>66794.880000000005</v>
      </c>
      <c r="E563">
        <v>0</v>
      </c>
      <c r="F563">
        <v>0</v>
      </c>
      <c r="G563">
        <v>27</v>
      </c>
    </row>
    <row r="564" spans="1:7" x14ac:dyDescent="0.2">
      <c r="A564" t="s">
        <v>460</v>
      </c>
      <c r="B564" t="s">
        <v>461</v>
      </c>
      <c r="C564">
        <v>108093.07</v>
      </c>
      <c r="D564">
        <v>76481.100000000006</v>
      </c>
      <c r="E564">
        <v>739.82</v>
      </c>
      <c r="F564">
        <v>0</v>
      </c>
      <c r="G564">
        <v>30872.15</v>
      </c>
    </row>
    <row r="565" spans="1:7" x14ac:dyDescent="0.2">
      <c r="A565" t="s">
        <v>913</v>
      </c>
      <c r="B565" t="s">
        <v>914</v>
      </c>
      <c r="C565">
        <v>88329.32</v>
      </c>
      <c r="D565">
        <v>88329.32</v>
      </c>
      <c r="E565">
        <v>0</v>
      </c>
      <c r="F565">
        <v>0</v>
      </c>
      <c r="G565">
        <v>0</v>
      </c>
    </row>
    <row r="566" spans="1:7" x14ac:dyDescent="0.2">
      <c r="A566" t="s">
        <v>194</v>
      </c>
      <c r="B566" t="s">
        <v>24</v>
      </c>
      <c r="C566">
        <v>135932.85</v>
      </c>
      <c r="D566">
        <v>72363.25</v>
      </c>
      <c r="E566">
        <v>5577.29</v>
      </c>
      <c r="F566">
        <v>51109</v>
      </c>
      <c r="G566">
        <v>6883.31</v>
      </c>
    </row>
    <row r="567" spans="1:7" x14ac:dyDescent="0.2">
      <c r="A567" t="s">
        <v>679</v>
      </c>
      <c r="B567" t="s">
        <v>106</v>
      </c>
      <c r="C567">
        <v>99002.07</v>
      </c>
      <c r="D567">
        <v>98270.28</v>
      </c>
      <c r="E567">
        <v>0</v>
      </c>
      <c r="F567">
        <v>0</v>
      </c>
      <c r="G567">
        <v>731.79</v>
      </c>
    </row>
    <row r="568" spans="1:7" x14ac:dyDescent="0.2">
      <c r="A568" t="s">
        <v>360</v>
      </c>
      <c r="B568" t="s">
        <v>265</v>
      </c>
      <c r="C568">
        <v>116438.52</v>
      </c>
      <c r="D568">
        <v>110120.48</v>
      </c>
      <c r="E568">
        <v>0</v>
      </c>
      <c r="F568">
        <v>0</v>
      </c>
      <c r="G568">
        <v>6318.04</v>
      </c>
    </row>
    <row r="569" spans="1:7" x14ac:dyDescent="0.2">
      <c r="A569" t="s">
        <v>1638</v>
      </c>
      <c r="B569" t="s">
        <v>1134</v>
      </c>
      <c r="C569">
        <v>55398.37</v>
      </c>
      <c r="D569">
        <v>45692.02</v>
      </c>
      <c r="E569">
        <v>1096.92</v>
      </c>
      <c r="F569">
        <v>0</v>
      </c>
      <c r="G569">
        <v>8609.43</v>
      </c>
    </row>
    <row r="570" spans="1:7" x14ac:dyDescent="0.2">
      <c r="A570" t="s">
        <v>1584</v>
      </c>
      <c r="B570" t="s">
        <v>1134</v>
      </c>
      <c r="C570">
        <v>58338.04</v>
      </c>
      <c r="D570">
        <v>49802.34</v>
      </c>
      <c r="E570">
        <v>417.94</v>
      </c>
      <c r="F570">
        <v>0</v>
      </c>
      <c r="G570">
        <v>8117.76</v>
      </c>
    </row>
    <row r="571" spans="1:7" x14ac:dyDescent="0.2">
      <c r="A571" t="s">
        <v>942</v>
      </c>
      <c r="B571" t="s">
        <v>830</v>
      </c>
      <c r="C571">
        <v>86685.64</v>
      </c>
      <c r="D571">
        <v>85370.64</v>
      </c>
      <c r="E571">
        <v>0</v>
      </c>
      <c r="F571">
        <v>0</v>
      </c>
      <c r="G571">
        <v>1315</v>
      </c>
    </row>
    <row r="572" spans="1:7" x14ac:dyDescent="0.2">
      <c r="A572" t="s">
        <v>1217</v>
      </c>
      <c r="B572" t="s">
        <v>330</v>
      </c>
      <c r="C572">
        <v>72586.3</v>
      </c>
      <c r="D572">
        <v>70614.3</v>
      </c>
      <c r="E572">
        <v>0</v>
      </c>
      <c r="F572">
        <v>0</v>
      </c>
      <c r="G572">
        <v>1972</v>
      </c>
    </row>
    <row r="573" spans="1:7" x14ac:dyDescent="0.2">
      <c r="A573" t="s">
        <v>1054</v>
      </c>
      <c r="B573" t="s">
        <v>330</v>
      </c>
      <c r="C573">
        <v>79760.990000000005</v>
      </c>
      <c r="D573">
        <v>78760.990000000005</v>
      </c>
      <c r="E573">
        <v>0</v>
      </c>
      <c r="F573">
        <v>0</v>
      </c>
      <c r="G573">
        <v>1000</v>
      </c>
    </row>
    <row r="574" spans="1:7" x14ac:dyDescent="0.2">
      <c r="A574" t="s">
        <v>673</v>
      </c>
      <c r="B574" t="s">
        <v>404</v>
      </c>
      <c r="C574">
        <v>99127.01</v>
      </c>
      <c r="D574">
        <v>97295.01</v>
      </c>
      <c r="E574">
        <v>0</v>
      </c>
      <c r="F574">
        <v>0</v>
      </c>
      <c r="G574">
        <v>1832</v>
      </c>
    </row>
    <row r="575" spans="1:7" x14ac:dyDescent="0.2">
      <c r="A575" t="s">
        <v>326</v>
      </c>
      <c r="B575" t="s">
        <v>130</v>
      </c>
      <c r="C575">
        <v>119688.59</v>
      </c>
      <c r="D575">
        <v>78613</v>
      </c>
      <c r="E575">
        <v>11204.24</v>
      </c>
      <c r="F575">
        <v>521</v>
      </c>
      <c r="G575">
        <v>29350.35</v>
      </c>
    </row>
    <row r="576" spans="1:7" x14ac:dyDescent="0.2">
      <c r="A576" t="s">
        <v>1605</v>
      </c>
      <c r="B576" t="s">
        <v>1357</v>
      </c>
      <c r="C576">
        <v>57381.66</v>
      </c>
      <c r="D576">
        <v>48789.97</v>
      </c>
      <c r="E576">
        <v>1130.9100000000001</v>
      </c>
      <c r="F576">
        <v>0</v>
      </c>
      <c r="G576">
        <v>7460.78</v>
      </c>
    </row>
    <row r="577" spans="1:7" x14ac:dyDescent="0.2">
      <c r="A577" t="s">
        <v>502</v>
      </c>
      <c r="B577" t="s">
        <v>492</v>
      </c>
      <c r="C577">
        <v>105951.22</v>
      </c>
      <c r="D577">
        <v>80041</v>
      </c>
      <c r="E577">
        <v>14315.14</v>
      </c>
      <c r="F577">
        <v>0</v>
      </c>
      <c r="G577">
        <v>11595.08</v>
      </c>
    </row>
    <row r="578" spans="1:7" x14ac:dyDescent="0.2">
      <c r="A578" t="s">
        <v>1240</v>
      </c>
      <c r="B578" t="s">
        <v>378</v>
      </c>
      <c r="C578">
        <v>71684.179999999993</v>
      </c>
      <c r="D578">
        <v>68954.28</v>
      </c>
      <c r="E578">
        <v>0</v>
      </c>
      <c r="F578">
        <v>0</v>
      </c>
      <c r="G578">
        <v>2729.9</v>
      </c>
    </row>
    <row r="579" spans="1:7" x14ac:dyDescent="0.2">
      <c r="A579" t="s">
        <v>606</v>
      </c>
      <c r="B579" t="s">
        <v>378</v>
      </c>
      <c r="C579">
        <v>101957.54</v>
      </c>
      <c r="D579">
        <v>101417.76</v>
      </c>
      <c r="E579">
        <v>0</v>
      </c>
      <c r="F579">
        <v>0</v>
      </c>
      <c r="G579">
        <v>539.78</v>
      </c>
    </row>
    <row r="580" spans="1:7" x14ac:dyDescent="0.2">
      <c r="A580" t="s">
        <v>416</v>
      </c>
      <c r="B580" t="s">
        <v>417</v>
      </c>
      <c r="C580">
        <v>110366.59</v>
      </c>
      <c r="D580">
        <v>103727.22</v>
      </c>
      <c r="E580">
        <v>0</v>
      </c>
      <c r="F580">
        <v>0</v>
      </c>
      <c r="G580">
        <v>6639.37</v>
      </c>
    </row>
    <row r="581" spans="1:7" x14ac:dyDescent="0.2">
      <c r="A581" t="s">
        <v>558</v>
      </c>
      <c r="B581" t="s">
        <v>448</v>
      </c>
      <c r="C581">
        <v>104076.95</v>
      </c>
      <c r="D581">
        <v>100726.84</v>
      </c>
      <c r="E581">
        <v>0</v>
      </c>
      <c r="F581">
        <v>0</v>
      </c>
      <c r="G581">
        <v>3350.11</v>
      </c>
    </row>
    <row r="582" spans="1:7" x14ac:dyDescent="0.2">
      <c r="A582" t="s">
        <v>958</v>
      </c>
      <c r="B582" t="s">
        <v>959</v>
      </c>
      <c r="C582">
        <v>85435.4</v>
      </c>
      <c r="D582">
        <v>84848.73</v>
      </c>
      <c r="E582">
        <v>0</v>
      </c>
      <c r="F582">
        <v>0</v>
      </c>
      <c r="G582">
        <v>586.66999999999996</v>
      </c>
    </row>
    <row r="583" spans="1:7" x14ac:dyDescent="0.2">
      <c r="A583" t="s">
        <v>1142</v>
      </c>
      <c r="B583" t="s">
        <v>380</v>
      </c>
      <c r="C583">
        <v>76745.100000000006</v>
      </c>
      <c r="D583">
        <v>52878.06</v>
      </c>
      <c r="E583">
        <v>19247.96</v>
      </c>
      <c r="F583">
        <v>0</v>
      </c>
      <c r="G583">
        <v>4619.08</v>
      </c>
    </row>
    <row r="584" spans="1:7" x14ac:dyDescent="0.2">
      <c r="A584" t="s">
        <v>325</v>
      </c>
      <c r="B584" t="s">
        <v>24</v>
      </c>
      <c r="C584">
        <v>119994.55</v>
      </c>
      <c r="D584">
        <v>80966.95</v>
      </c>
      <c r="E584">
        <v>11275.38</v>
      </c>
      <c r="F584">
        <v>16170</v>
      </c>
      <c r="G584">
        <v>11582.22</v>
      </c>
    </row>
    <row r="585" spans="1:7" x14ac:dyDescent="0.2">
      <c r="A585" t="s">
        <v>1681</v>
      </c>
      <c r="B585" t="s">
        <v>1682</v>
      </c>
      <c r="C585">
        <v>53570.55</v>
      </c>
      <c r="D585">
        <v>53570.55</v>
      </c>
      <c r="E585">
        <v>0</v>
      </c>
      <c r="F585">
        <v>0</v>
      </c>
      <c r="G585">
        <v>0</v>
      </c>
    </row>
    <row r="586" spans="1:7" x14ac:dyDescent="0.2">
      <c r="A586" t="s">
        <v>619</v>
      </c>
      <c r="B586" t="s">
        <v>378</v>
      </c>
      <c r="C586">
        <v>101291.88</v>
      </c>
      <c r="D586">
        <v>99417.72</v>
      </c>
      <c r="E586">
        <v>0</v>
      </c>
      <c r="F586">
        <v>0</v>
      </c>
      <c r="G586">
        <v>1874.16</v>
      </c>
    </row>
    <row r="587" spans="1:7" x14ac:dyDescent="0.2">
      <c r="A587" t="s">
        <v>818</v>
      </c>
      <c r="B587" t="s">
        <v>448</v>
      </c>
      <c r="C587">
        <v>93246.720000000001</v>
      </c>
      <c r="D587">
        <v>93246.720000000001</v>
      </c>
      <c r="E587">
        <v>0</v>
      </c>
      <c r="F587">
        <v>0</v>
      </c>
      <c r="G587">
        <v>0</v>
      </c>
    </row>
    <row r="588" spans="1:7" x14ac:dyDescent="0.2">
      <c r="A588" t="s">
        <v>446</v>
      </c>
      <c r="B588" t="s">
        <v>378</v>
      </c>
      <c r="C588">
        <v>108571.89</v>
      </c>
      <c r="D588">
        <v>105669.73</v>
      </c>
      <c r="E588">
        <v>0</v>
      </c>
      <c r="F588">
        <v>0</v>
      </c>
      <c r="G588">
        <v>2902.16</v>
      </c>
    </row>
    <row r="589" spans="1:7" x14ac:dyDescent="0.2">
      <c r="A589" t="s">
        <v>1420</v>
      </c>
      <c r="B589" t="s">
        <v>1028</v>
      </c>
      <c r="C589">
        <v>64819</v>
      </c>
      <c r="D589">
        <v>50680.58</v>
      </c>
      <c r="E589">
        <v>8291.99</v>
      </c>
      <c r="F589">
        <v>2144.79</v>
      </c>
      <c r="G589">
        <v>3701.64</v>
      </c>
    </row>
    <row r="590" spans="1:7" x14ac:dyDescent="0.2">
      <c r="A590" t="s">
        <v>256</v>
      </c>
      <c r="B590" t="s">
        <v>130</v>
      </c>
      <c r="C590">
        <v>125692.18</v>
      </c>
      <c r="D590">
        <v>79912.61</v>
      </c>
      <c r="E590">
        <v>12413.39</v>
      </c>
      <c r="F590">
        <v>1705</v>
      </c>
      <c r="G590">
        <v>31661.18</v>
      </c>
    </row>
    <row r="591" spans="1:7" x14ac:dyDescent="0.2">
      <c r="A591" t="s">
        <v>1212</v>
      </c>
      <c r="B591" t="s">
        <v>1213</v>
      </c>
      <c r="C591">
        <v>72939.460000000006</v>
      </c>
      <c r="D591">
        <v>68939.5</v>
      </c>
      <c r="E591">
        <v>0</v>
      </c>
      <c r="F591">
        <v>0</v>
      </c>
      <c r="G591">
        <v>3999.96</v>
      </c>
    </row>
    <row r="592" spans="1:7" x14ac:dyDescent="0.2">
      <c r="A592" t="s">
        <v>604</v>
      </c>
      <c r="B592" t="s">
        <v>433</v>
      </c>
      <c r="C592">
        <v>102091.89</v>
      </c>
      <c r="D592">
        <v>99917.73</v>
      </c>
      <c r="E592">
        <v>0</v>
      </c>
      <c r="F592">
        <v>0</v>
      </c>
      <c r="G592">
        <v>2174.16</v>
      </c>
    </row>
    <row r="593" spans="1:7" x14ac:dyDescent="0.2">
      <c r="A593" t="s">
        <v>1500</v>
      </c>
      <c r="B593" t="s">
        <v>1501</v>
      </c>
      <c r="C593">
        <v>61766.65</v>
      </c>
      <c r="D593">
        <v>61766.65</v>
      </c>
      <c r="E593">
        <v>0</v>
      </c>
      <c r="F593">
        <v>0</v>
      </c>
      <c r="G593">
        <v>0</v>
      </c>
    </row>
    <row r="594" spans="1:7" x14ac:dyDescent="0.2">
      <c r="A594" t="s">
        <v>73</v>
      </c>
      <c r="B594" t="s">
        <v>32</v>
      </c>
      <c r="C594">
        <v>185974.43</v>
      </c>
      <c r="D594">
        <v>116876.86</v>
      </c>
      <c r="E594">
        <v>17496.98</v>
      </c>
      <c r="F594">
        <v>42570.5</v>
      </c>
      <c r="G594">
        <v>9030.09</v>
      </c>
    </row>
    <row r="595" spans="1:7" x14ac:dyDescent="0.2">
      <c r="A595" t="s">
        <v>564</v>
      </c>
      <c r="B595" t="s">
        <v>330</v>
      </c>
      <c r="C595">
        <v>103897.54</v>
      </c>
      <c r="D595">
        <v>101681.37</v>
      </c>
      <c r="E595">
        <v>0</v>
      </c>
      <c r="F595">
        <v>0</v>
      </c>
      <c r="G595">
        <v>2216.17</v>
      </c>
    </row>
    <row r="596" spans="1:7" x14ac:dyDescent="0.2">
      <c r="A596" t="s">
        <v>1672</v>
      </c>
      <c r="B596" t="s">
        <v>1673</v>
      </c>
      <c r="C596">
        <v>54122.35</v>
      </c>
      <c r="D596">
        <v>51383.42</v>
      </c>
      <c r="E596">
        <v>2657.93</v>
      </c>
      <c r="F596">
        <v>0</v>
      </c>
      <c r="G596">
        <v>81</v>
      </c>
    </row>
    <row r="597" spans="1:7" x14ac:dyDescent="0.2">
      <c r="A597" t="s">
        <v>668</v>
      </c>
      <c r="B597" t="s">
        <v>378</v>
      </c>
      <c r="C597">
        <v>99417.8</v>
      </c>
      <c r="D597">
        <v>97517.64</v>
      </c>
      <c r="E597">
        <v>0</v>
      </c>
      <c r="F597">
        <v>0</v>
      </c>
      <c r="G597">
        <v>1900.16</v>
      </c>
    </row>
    <row r="598" spans="1:7" x14ac:dyDescent="0.2">
      <c r="A598" t="s">
        <v>430</v>
      </c>
      <c r="B598" t="s">
        <v>265</v>
      </c>
      <c r="C598">
        <v>109690.28</v>
      </c>
      <c r="D598">
        <v>107144.22</v>
      </c>
      <c r="E598">
        <v>0</v>
      </c>
      <c r="F598">
        <v>0</v>
      </c>
      <c r="G598">
        <v>2546.06</v>
      </c>
    </row>
    <row r="599" spans="1:7" x14ac:dyDescent="0.2">
      <c r="A599" t="s">
        <v>1298</v>
      </c>
      <c r="B599" t="s">
        <v>1299</v>
      </c>
      <c r="C599">
        <v>69342.149999999994</v>
      </c>
      <c r="D599">
        <v>67342.17</v>
      </c>
      <c r="E599">
        <v>0</v>
      </c>
      <c r="F599">
        <v>0</v>
      </c>
      <c r="G599">
        <v>1999.98</v>
      </c>
    </row>
    <row r="600" spans="1:7" x14ac:dyDescent="0.2">
      <c r="A600" t="s">
        <v>952</v>
      </c>
      <c r="B600" t="s">
        <v>953</v>
      </c>
      <c r="C600">
        <v>85561.69</v>
      </c>
      <c r="D600">
        <v>83757.73</v>
      </c>
      <c r="E600">
        <v>0</v>
      </c>
      <c r="F600">
        <v>0</v>
      </c>
      <c r="G600">
        <v>1803.96</v>
      </c>
    </row>
    <row r="601" spans="1:7" x14ac:dyDescent="0.2">
      <c r="A601" t="s">
        <v>1663</v>
      </c>
      <c r="B601" t="s">
        <v>330</v>
      </c>
      <c r="C601">
        <v>54439.45</v>
      </c>
      <c r="D601">
        <v>52892.07</v>
      </c>
      <c r="E601">
        <v>0</v>
      </c>
      <c r="F601">
        <v>0</v>
      </c>
      <c r="G601">
        <v>1547.38</v>
      </c>
    </row>
    <row r="602" spans="1:7" x14ac:dyDescent="0.2">
      <c r="A602" t="s">
        <v>107</v>
      </c>
      <c r="B602" t="s">
        <v>65</v>
      </c>
      <c r="C602">
        <v>165122.13</v>
      </c>
      <c r="D602">
        <v>94637.54</v>
      </c>
      <c r="E602">
        <v>29796.21</v>
      </c>
      <c r="F602">
        <v>2566</v>
      </c>
      <c r="G602">
        <v>38122.379999999997</v>
      </c>
    </row>
    <row r="603" spans="1:7" x14ac:dyDescent="0.2">
      <c r="A603" t="s">
        <v>1455</v>
      </c>
      <c r="B603" t="s">
        <v>330</v>
      </c>
      <c r="C603">
        <v>63425.89</v>
      </c>
      <c r="D603">
        <v>62086.89</v>
      </c>
      <c r="E603">
        <v>0</v>
      </c>
      <c r="F603">
        <v>0</v>
      </c>
      <c r="G603">
        <v>1339</v>
      </c>
    </row>
    <row r="604" spans="1:7" x14ac:dyDescent="0.2">
      <c r="A604" t="s">
        <v>67</v>
      </c>
      <c r="B604" t="s">
        <v>24</v>
      </c>
      <c r="C604">
        <v>192561.35</v>
      </c>
      <c r="D604">
        <v>80966.759999999995</v>
      </c>
      <c r="E604">
        <v>26446.91</v>
      </c>
      <c r="F604">
        <v>75439.5</v>
      </c>
      <c r="G604">
        <v>9708.18</v>
      </c>
    </row>
    <row r="605" spans="1:7" x14ac:dyDescent="0.2">
      <c r="A605" t="s">
        <v>1079</v>
      </c>
      <c r="B605" t="s">
        <v>378</v>
      </c>
      <c r="C605">
        <v>78979.12</v>
      </c>
      <c r="D605">
        <v>75192.12</v>
      </c>
      <c r="E605">
        <v>0</v>
      </c>
      <c r="F605">
        <v>0</v>
      </c>
      <c r="G605">
        <v>3787</v>
      </c>
    </row>
    <row r="606" spans="1:7" x14ac:dyDescent="0.2">
      <c r="A606" t="s">
        <v>557</v>
      </c>
      <c r="B606" t="s">
        <v>404</v>
      </c>
      <c r="C606">
        <v>104102.96</v>
      </c>
      <c r="D606">
        <v>101326.8</v>
      </c>
      <c r="E606">
        <v>0</v>
      </c>
      <c r="F606">
        <v>0</v>
      </c>
      <c r="G606">
        <v>2776.16</v>
      </c>
    </row>
    <row r="607" spans="1:7" x14ac:dyDescent="0.2">
      <c r="A607" t="s">
        <v>880</v>
      </c>
      <c r="B607" t="s">
        <v>519</v>
      </c>
      <c r="C607">
        <v>90214.17</v>
      </c>
      <c r="D607">
        <v>54512.88</v>
      </c>
      <c r="E607">
        <v>24340.02</v>
      </c>
      <c r="F607">
        <v>0</v>
      </c>
      <c r="G607">
        <v>11361.27</v>
      </c>
    </row>
    <row r="608" spans="1:7" x14ac:dyDescent="0.2">
      <c r="A608" t="s">
        <v>1541</v>
      </c>
      <c r="B608" t="s">
        <v>1542</v>
      </c>
      <c r="C608">
        <v>59986.52</v>
      </c>
      <c r="D608">
        <v>59288.5</v>
      </c>
      <c r="E608">
        <v>0</v>
      </c>
      <c r="F608">
        <v>0</v>
      </c>
      <c r="G608">
        <v>698.02</v>
      </c>
    </row>
    <row r="609" spans="1:7" x14ac:dyDescent="0.2">
      <c r="A609" t="s">
        <v>467</v>
      </c>
      <c r="B609" t="s">
        <v>130</v>
      </c>
      <c r="C609">
        <v>107432.53</v>
      </c>
      <c r="D609">
        <v>77350.14</v>
      </c>
      <c r="E609">
        <v>1464.36</v>
      </c>
      <c r="F609">
        <v>0</v>
      </c>
      <c r="G609">
        <v>28618.03</v>
      </c>
    </row>
    <row r="610" spans="1:7" x14ac:dyDescent="0.2">
      <c r="A610" t="s">
        <v>584</v>
      </c>
      <c r="B610" t="s">
        <v>378</v>
      </c>
      <c r="C610">
        <v>102804.11</v>
      </c>
      <c r="D610">
        <v>99884.97</v>
      </c>
      <c r="E610">
        <v>0</v>
      </c>
      <c r="F610">
        <v>0</v>
      </c>
      <c r="G610">
        <v>2919.14</v>
      </c>
    </row>
    <row r="611" spans="1:7" x14ac:dyDescent="0.2">
      <c r="A611" t="s">
        <v>555</v>
      </c>
      <c r="B611" t="s">
        <v>378</v>
      </c>
      <c r="C611">
        <v>104120.95</v>
      </c>
      <c r="D611">
        <v>102077.79</v>
      </c>
      <c r="E611">
        <v>0</v>
      </c>
      <c r="F611">
        <v>0</v>
      </c>
      <c r="G611">
        <v>2043.16</v>
      </c>
    </row>
    <row r="612" spans="1:7" x14ac:dyDescent="0.2">
      <c r="A612" t="s">
        <v>509</v>
      </c>
      <c r="B612" t="s">
        <v>330</v>
      </c>
      <c r="C612">
        <v>105609.78</v>
      </c>
      <c r="D612">
        <v>102727.78</v>
      </c>
      <c r="E612">
        <v>0</v>
      </c>
      <c r="F612">
        <v>0</v>
      </c>
      <c r="G612">
        <v>2882</v>
      </c>
    </row>
    <row r="613" spans="1:7" x14ac:dyDescent="0.2">
      <c r="A613" t="s">
        <v>976</v>
      </c>
      <c r="B613" t="s">
        <v>378</v>
      </c>
      <c r="C613">
        <v>84249.09</v>
      </c>
      <c r="D613">
        <v>83640.09</v>
      </c>
      <c r="E613">
        <v>0</v>
      </c>
      <c r="F613">
        <v>0</v>
      </c>
      <c r="G613">
        <v>609</v>
      </c>
    </row>
    <row r="614" spans="1:7" x14ac:dyDescent="0.2">
      <c r="A614" t="s">
        <v>1662</v>
      </c>
      <c r="B614" t="s">
        <v>330</v>
      </c>
      <c r="C614">
        <v>54552.42</v>
      </c>
      <c r="D614">
        <v>54498.42</v>
      </c>
      <c r="E614">
        <v>0</v>
      </c>
      <c r="F614">
        <v>0</v>
      </c>
      <c r="G614">
        <v>54</v>
      </c>
    </row>
    <row r="615" spans="1:7" x14ac:dyDescent="0.2">
      <c r="A615" t="s">
        <v>489</v>
      </c>
      <c r="B615" t="s">
        <v>378</v>
      </c>
      <c r="C615">
        <v>106409.16</v>
      </c>
      <c r="D615">
        <v>104535</v>
      </c>
      <c r="E615">
        <v>0</v>
      </c>
      <c r="F615">
        <v>0</v>
      </c>
      <c r="G615">
        <v>1874.16</v>
      </c>
    </row>
    <row r="616" spans="1:7" x14ac:dyDescent="0.2">
      <c r="A616" t="s">
        <v>163</v>
      </c>
      <c r="B616" t="s">
        <v>106</v>
      </c>
      <c r="C616">
        <v>144382.9</v>
      </c>
      <c r="D616">
        <v>139910.44</v>
      </c>
      <c r="E616">
        <v>0</v>
      </c>
      <c r="F616">
        <v>0</v>
      </c>
      <c r="G616">
        <v>4472.46</v>
      </c>
    </row>
    <row r="617" spans="1:7" x14ac:dyDescent="0.2">
      <c r="A617" t="s">
        <v>239</v>
      </c>
      <c r="B617" t="s">
        <v>69</v>
      </c>
      <c r="C617">
        <v>128705.08</v>
      </c>
      <c r="D617">
        <v>80887.97</v>
      </c>
      <c r="E617">
        <v>17897.060000000001</v>
      </c>
      <c r="F617">
        <v>0</v>
      </c>
      <c r="G617">
        <v>29920.05</v>
      </c>
    </row>
    <row r="618" spans="1:7" x14ac:dyDescent="0.2">
      <c r="A618" t="s">
        <v>103</v>
      </c>
      <c r="B618" t="s">
        <v>24</v>
      </c>
      <c r="C618">
        <v>167053.06</v>
      </c>
      <c r="D618">
        <v>80966.8</v>
      </c>
      <c r="E618">
        <v>37368.080000000002</v>
      </c>
      <c r="F618">
        <v>35910</v>
      </c>
      <c r="G618">
        <v>12808.18</v>
      </c>
    </row>
    <row r="619" spans="1:7" x14ac:dyDescent="0.2">
      <c r="A619" t="s">
        <v>999</v>
      </c>
      <c r="B619" t="s">
        <v>1000</v>
      </c>
      <c r="C619">
        <v>82629.600000000006</v>
      </c>
      <c r="D619">
        <v>51751.73</v>
      </c>
      <c r="E619">
        <v>18098.89</v>
      </c>
      <c r="F619">
        <v>0</v>
      </c>
      <c r="G619">
        <v>12778.98</v>
      </c>
    </row>
    <row r="620" spans="1:7" x14ac:dyDescent="0.2">
      <c r="A620" t="s">
        <v>782</v>
      </c>
      <c r="B620" t="s">
        <v>724</v>
      </c>
      <c r="C620">
        <v>94536.42</v>
      </c>
      <c r="D620">
        <v>94536.42</v>
      </c>
      <c r="E620">
        <v>0</v>
      </c>
      <c r="F620">
        <v>0</v>
      </c>
      <c r="G620">
        <v>0</v>
      </c>
    </row>
    <row r="621" spans="1:7" x14ac:dyDescent="0.2">
      <c r="A621" t="s">
        <v>783</v>
      </c>
      <c r="B621" t="s">
        <v>433</v>
      </c>
      <c r="C621">
        <v>94482.51</v>
      </c>
      <c r="D621">
        <v>94482.51</v>
      </c>
      <c r="E621">
        <v>0</v>
      </c>
      <c r="F621">
        <v>0</v>
      </c>
      <c r="G621">
        <v>0</v>
      </c>
    </row>
    <row r="622" spans="1:7" x14ac:dyDescent="0.2">
      <c r="A622" t="s">
        <v>183</v>
      </c>
      <c r="B622" t="s">
        <v>24</v>
      </c>
      <c r="C622">
        <v>138641.54</v>
      </c>
      <c r="D622">
        <v>86530.72</v>
      </c>
      <c r="E622">
        <v>31792.03</v>
      </c>
      <c r="F622">
        <v>12222</v>
      </c>
      <c r="G622">
        <v>8096.79</v>
      </c>
    </row>
    <row r="623" spans="1:7" x14ac:dyDescent="0.2">
      <c r="A623" t="s">
        <v>186</v>
      </c>
      <c r="B623" t="s">
        <v>34</v>
      </c>
      <c r="C623">
        <v>138131.23000000001</v>
      </c>
      <c r="D623">
        <v>116339.49</v>
      </c>
      <c r="E623">
        <v>9766.16</v>
      </c>
      <c r="F623">
        <v>400</v>
      </c>
      <c r="G623">
        <v>11625.58</v>
      </c>
    </row>
    <row r="624" spans="1:7" x14ac:dyDescent="0.2">
      <c r="A624" t="s">
        <v>1331</v>
      </c>
      <c r="B624" t="s">
        <v>330</v>
      </c>
      <c r="C624">
        <v>67797.37</v>
      </c>
      <c r="D624">
        <v>58718.37</v>
      </c>
      <c r="E624">
        <v>0</v>
      </c>
      <c r="F624">
        <v>0</v>
      </c>
      <c r="G624">
        <v>9079</v>
      </c>
    </row>
    <row r="625" spans="1:7" x14ac:dyDescent="0.2">
      <c r="A625" t="s">
        <v>1230</v>
      </c>
      <c r="B625" t="s">
        <v>404</v>
      </c>
      <c r="C625">
        <v>72158.789999999994</v>
      </c>
      <c r="D625">
        <v>70978.559999999998</v>
      </c>
      <c r="E625">
        <v>0</v>
      </c>
      <c r="F625">
        <v>0</v>
      </c>
      <c r="G625">
        <v>1180.23</v>
      </c>
    </row>
    <row r="626" spans="1:7" x14ac:dyDescent="0.2">
      <c r="A626" t="s">
        <v>1265</v>
      </c>
      <c r="B626" t="s">
        <v>1266</v>
      </c>
      <c r="C626">
        <v>70542.17</v>
      </c>
      <c r="D626">
        <v>53971.27</v>
      </c>
      <c r="E626">
        <v>5279.17</v>
      </c>
      <c r="F626">
        <v>0</v>
      </c>
      <c r="G626">
        <v>11291.73</v>
      </c>
    </row>
    <row r="627" spans="1:7" x14ac:dyDescent="0.2">
      <c r="A627" t="s">
        <v>661</v>
      </c>
      <c r="B627" t="s">
        <v>378</v>
      </c>
      <c r="C627">
        <v>99781.39</v>
      </c>
      <c r="D627">
        <v>96794.94</v>
      </c>
      <c r="E627">
        <v>0</v>
      </c>
      <c r="F627">
        <v>0</v>
      </c>
      <c r="G627">
        <v>2986.45</v>
      </c>
    </row>
    <row r="628" spans="1:7" x14ac:dyDescent="0.2">
      <c r="A628" t="s">
        <v>1393</v>
      </c>
      <c r="B628" t="s">
        <v>378</v>
      </c>
      <c r="C628">
        <v>65707.350000000006</v>
      </c>
      <c r="D628">
        <v>65655.350000000006</v>
      </c>
      <c r="E628">
        <v>0</v>
      </c>
      <c r="F628">
        <v>0</v>
      </c>
      <c r="G628">
        <v>52</v>
      </c>
    </row>
    <row r="629" spans="1:7" x14ac:dyDescent="0.2">
      <c r="A629" t="s">
        <v>1310</v>
      </c>
      <c r="B629" t="s">
        <v>378</v>
      </c>
      <c r="C629">
        <v>68876.02</v>
      </c>
      <c r="D629">
        <v>68824.02</v>
      </c>
      <c r="E629">
        <v>0</v>
      </c>
      <c r="F629">
        <v>0</v>
      </c>
      <c r="G629">
        <v>52</v>
      </c>
    </row>
    <row r="630" spans="1:7" x14ac:dyDescent="0.2">
      <c r="A630" t="s">
        <v>488</v>
      </c>
      <c r="B630" t="s">
        <v>330</v>
      </c>
      <c r="C630">
        <v>106451.97</v>
      </c>
      <c r="D630">
        <v>104577.81</v>
      </c>
      <c r="E630">
        <v>0</v>
      </c>
      <c r="F630">
        <v>0</v>
      </c>
      <c r="G630">
        <v>1874.16</v>
      </c>
    </row>
    <row r="631" spans="1:7" x14ac:dyDescent="0.2">
      <c r="A631" t="s">
        <v>387</v>
      </c>
      <c r="B631" t="s">
        <v>378</v>
      </c>
      <c r="C631">
        <v>112261.92</v>
      </c>
      <c r="D631">
        <v>109256.76</v>
      </c>
      <c r="E631">
        <v>0</v>
      </c>
      <c r="F631">
        <v>0</v>
      </c>
      <c r="G631">
        <v>3005.16</v>
      </c>
    </row>
    <row r="632" spans="1:7" x14ac:dyDescent="0.2">
      <c r="A632" t="s">
        <v>639</v>
      </c>
      <c r="B632" t="s">
        <v>330</v>
      </c>
      <c r="C632">
        <v>100467.87</v>
      </c>
      <c r="D632">
        <v>97517.64</v>
      </c>
      <c r="E632">
        <v>0</v>
      </c>
      <c r="F632">
        <v>0</v>
      </c>
      <c r="G632">
        <v>2950.23</v>
      </c>
    </row>
    <row r="633" spans="1:7" x14ac:dyDescent="0.2">
      <c r="A633" t="s">
        <v>84</v>
      </c>
      <c r="B633" t="s">
        <v>24</v>
      </c>
      <c r="C633">
        <v>181140.05</v>
      </c>
      <c r="D633">
        <v>84638.76</v>
      </c>
      <c r="E633">
        <v>17828.07</v>
      </c>
      <c r="F633">
        <v>70163.5</v>
      </c>
      <c r="G633">
        <v>8509.7199999999993</v>
      </c>
    </row>
    <row r="634" spans="1:7" x14ac:dyDescent="0.2">
      <c r="A634" t="s">
        <v>344</v>
      </c>
      <c r="B634" t="s">
        <v>130</v>
      </c>
      <c r="C634">
        <v>117983.98</v>
      </c>
      <c r="D634">
        <v>77146.23</v>
      </c>
      <c r="E634">
        <v>8330.32</v>
      </c>
      <c r="F634">
        <v>1937</v>
      </c>
      <c r="G634">
        <v>30570.43</v>
      </c>
    </row>
    <row r="635" spans="1:7" x14ac:dyDescent="0.2">
      <c r="A635" t="s">
        <v>659</v>
      </c>
      <c r="B635" t="s">
        <v>660</v>
      </c>
      <c r="C635">
        <v>99785.33</v>
      </c>
      <c r="D635">
        <v>98355.63</v>
      </c>
      <c r="E635">
        <v>0</v>
      </c>
      <c r="F635">
        <v>0</v>
      </c>
      <c r="G635">
        <v>1429.7</v>
      </c>
    </row>
    <row r="636" spans="1:7" x14ac:dyDescent="0.2">
      <c r="A636" t="s">
        <v>1080</v>
      </c>
      <c r="B636" t="s">
        <v>1081</v>
      </c>
      <c r="C636">
        <v>78880.460000000006</v>
      </c>
      <c r="D636">
        <v>78780.460000000006</v>
      </c>
      <c r="E636">
        <v>0</v>
      </c>
      <c r="F636">
        <v>0</v>
      </c>
      <c r="G636">
        <v>100</v>
      </c>
    </row>
    <row r="637" spans="1:7" x14ac:dyDescent="0.2">
      <c r="A637" t="s">
        <v>1701</v>
      </c>
      <c r="B637" t="s">
        <v>378</v>
      </c>
      <c r="C637">
        <v>52478.46</v>
      </c>
      <c r="D637">
        <v>50666.46</v>
      </c>
      <c r="E637">
        <v>0</v>
      </c>
      <c r="F637">
        <v>0</v>
      </c>
      <c r="G637">
        <v>1812</v>
      </c>
    </row>
    <row r="638" spans="1:7" x14ac:dyDescent="0.2">
      <c r="A638" t="s">
        <v>305</v>
      </c>
      <c r="B638" t="s">
        <v>130</v>
      </c>
      <c r="C638">
        <v>121372.02</v>
      </c>
      <c r="D638">
        <v>81449.5</v>
      </c>
      <c r="E638">
        <v>7728.94</v>
      </c>
      <c r="F638">
        <v>2246</v>
      </c>
      <c r="G638">
        <v>29947.58</v>
      </c>
    </row>
    <row r="639" spans="1:7" x14ac:dyDescent="0.2">
      <c r="A639" t="s">
        <v>1694</v>
      </c>
      <c r="B639" t="s">
        <v>1695</v>
      </c>
      <c r="C639">
        <v>52958.559999999998</v>
      </c>
      <c r="D639">
        <v>52514.720000000001</v>
      </c>
      <c r="E639">
        <v>243.84</v>
      </c>
      <c r="F639">
        <v>0</v>
      </c>
      <c r="G639">
        <v>200</v>
      </c>
    </row>
    <row r="640" spans="1:7" x14ac:dyDescent="0.2">
      <c r="A640" t="s">
        <v>930</v>
      </c>
      <c r="B640" t="s">
        <v>931</v>
      </c>
      <c r="C640">
        <v>87427.31</v>
      </c>
      <c r="D640">
        <v>87427.31</v>
      </c>
      <c r="E640">
        <v>0</v>
      </c>
      <c r="F640">
        <v>0</v>
      </c>
      <c r="G640">
        <v>0</v>
      </c>
    </row>
    <row r="641" spans="1:7" x14ac:dyDescent="0.2">
      <c r="A641" t="s">
        <v>994</v>
      </c>
      <c r="B641" t="s">
        <v>472</v>
      </c>
      <c r="C641">
        <v>82770.649999999994</v>
      </c>
      <c r="D641">
        <v>50233.67</v>
      </c>
      <c r="E641">
        <v>21443.759999999998</v>
      </c>
      <c r="F641">
        <v>0</v>
      </c>
      <c r="G641">
        <v>11093.22</v>
      </c>
    </row>
    <row r="642" spans="1:7" x14ac:dyDescent="0.2">
      <c r="A642" t="s">
        <v>720</v>
      </c>
      <c r="B642" t="s">
        <v>721</v>
      </c>
      <c r="C642">
        <v>97436.9</v>
      </c>
      <c r="D642">
        <v>78123.570000000007</v>
      </c>
      <c r="E642">
        <v>227</v>
      </c>
      <c r="F642">
        <v>0</v>
      </c>
      <c r="G642">
        <v>19086.330000000002</v>
      </c>
    </row>
    <row r="643" spans="1:7" x14ac:dyDescent="0.2">
      <c r="A643" t="s">
        <v>101</v>
      </c>
      <c r="B643" t="s">
        <v>24</v>
      </c>
      <c r="C643">
        <v>167948.45</v>
      </c>
      <c r="D643">
        <v>67691.61</v>
      </c>
      <c r="E643">
        <v>50129.1</v>
      </c>
      <c r="F643">
        <v>36316</v>
      </c>
      <c r="G643">
        <v>13811.74</v>
      </c>
    </row>
    <row r="644" spans="1:7" x14ac:dyDescent="0.2">
      <c r="A644" t="s">
        <v>591</v>
      </c>
      <c r="B644" t="s">
        <v>378</v>
      </c>
      <c r="C644">
        <v>102419.71</v>
      </c>
      <c r="D644">
        <v>100717.81</v>
      </c>
      <c r="E644">
        <v>0</v>
      </c>
      <c r="F644">
        <v>0</v>
      </c>
      <c r="G644">
        <v>1701.9</v>
      </c>
    </row>
    <row r="645" spans="1:7" x14ac:dyDescent="0.2">
      <c r="A645" t="s">
        <v>1461</v>
      </c>
      <c r="B645" t="s">
        <v>1340</v>
      </c>
      <c r="C645">
        <v>63165.61</v>
      </c>
      <c r="D645">
        <v>51760.63</v>
      </c>
      <c r="E645">
        <v>312.55</v>
      </c>
      <c r="F645">
        <v>0</v>
      </c>
      <c r="G645">
        <v>11092.43</v>
      </c>
    </row>
    <row r="646" spans="1:7" x14ac:dyDescent="0.2">
      <c r="A646" t="s">
        <v>110</v>
      </c>
      <c r="B646" t="s">
        <v>24</v>
      </c>
      <c r="C646">
        <v>162051.43</v>
      </c>
      <c r="D646">
        <v>87930.72</v>
      </c>
      <c r="E646">
        <v>15373.35</v>
      </c>
      <c r="F646">
        <v>51908</v>
      </c>
      <c r="G646">
        <v>6839.36</v>
      </c>
    </row>
    <row r="647" spans="1:7" x14ac:dyDescent="0.2">
      <c r="A647" t="s">
        <v>1012</v>
      </c>
      <c r="B647" t="s">
        <v>448</v>
      </c>
      <c r="C647">
        <v>81829.81</v>
      </c>
      <c r="D647">
        <v>79173.81</v>
      </c>
      <c r="E647">
        <v>0</v>
      </c>
      <c r="F647">
        <v>0</v>
      </c>
      <c r="G647">
        <v>2656</v>
      </c>
    </row>
    <row r="648" spans="1:7" x14ac:dyDescent="0.2">
      <c r="A648" t="s">
        <v>562</v>
      </c>
      <c r="B648" t="s">
        <v>378</v>
      </c>
      <c r="C648">
        <v>103947.82</v>
      </c>
      <c r="D648">
        <v>103827.82</v>
      </c>
      <c r="E648">
        <v>0</v>
      </c>
      <c r="F648">
        <v>0</v>
      </c>
      <c r="G648">
        <v>120</v>
      </c>
    </row>
    <row r="649" spans="1:7" x14ac:dyDescent="0.2">
      <c r="A649" t="s">
        <v>1246</v>
      </c>
      <c r="B649" t="s">
        <v>1024</v>
      </c>
      <c r="C649">
        <v>71237.740000000005</v>
      </c>
      <c r="D649">
        <v>59186.06</v>
      </c>
      <c r="E649">
        <v>358.46</v>
      </c>
      <c r="F649">
        <v>0</v>
      </c>
      <c r="G649">
        <v>11693.22</v>
      </c>
    </row>
    <row r="650" spans="1:7" x14ac:dyDescent="0.2">
      <c r="A650" t="s">
        <v>1288</v>
      </c>
      <c r="B650" t="s">
        <v>1289</v>
      </c>
      <c r="C650">
        <v>69583.839999999997</v>
      </c>
      <c r="D650">
        <v>69583.839999999997</v>
      </c>
      <c r="E650">
        <v>0</v>
      </c>
      <c r="F650">
        <v>0</v>
      </c>
      <c r="G650">
        <v>0</v>
      </c>
    </row>
    <row r="651" spans="1:7" x14ac:dyDescent="0.2">
      <c r="A651" t="s">
        <v>754</v>
      </c>
      <c r="B651" t="s">
        <v>378</v>
      </c>
      <c r="C651">
        <v>95825.97</v>
      </c>
      <c r="D651">
        <v>94132.44</v>
      </c>
      <c r="E651">
        <v>0</v>
      </c>
      <c r="F651">
        <v>0</v>
      </c>
      <c r="G651">
        <v>1693.53</v>
      </c>
    </row>
    <row r="652" spans="1:7" x14ac:dyDescent="0.2">
      <c r="A652" t="s">
        <v>1272</v>
      </c>
      <c r="B652" t="s">
        <v>472</v>
      </c>
      <c r="C652">
        <v>70287.850000000006</v>
      </c>
      <c r="D652">
        <v>49302.16</v>
      </c>
      <c r="E652">
        <v>9535.9</v>
      </c>
      <c r="F652">
        <v>0</v>
      </c>
      <c r="G652">
        <v>11449.79</v>
      </c>
    </row>
    <row r="653" spans="1:7" x14ac:dyDescent="0.2">
      <c r="A653" t="s">
        <v>766</v>
      </c>
      <c r="B653" t="s">
        <v>433</v>
      </c>
      <c r="C653">
        <v>95382.52</v>
      </c>
      <c r="D653">
        <v>95382.52</v>
      </c>
      <c r="E653">
        <v>0</v>
      </c>
      <c r="F653">
        <v>0</v>
      </c>
      <c r="G653">
        <v>0</v>
      </c>
    </row>
    <row r="654" spans="1:7" x14ac:dyDescent="0.2">
      <c r="A654" t="s">
        <v>249</v>
      </c>
      <c r="B654" t="s">
        <v>130</v>
      </c>
      <c r="C654">
        <v>127056.36</v>
      </c>
      <c r="D654">
        <v>85193.59</v>
      </c>
      <c r="E654">
        <v>8653.5300000000007</v>
      </c>
      <c r="F654">
        <v>0</v>
      </c>
      <c r="G654">
        <v>33209.24</v>
      </c>
    </row>
    <row r="655" spans="1:7" x14ac:dyDescent="0.2">
      <c r="A655" t="s">
        <v>728</v>
      </c>
      <c r="B655" t="s">
        <v>404</v>
      </c>
      <c r="C655">
        <v>96897.86</v>
      </c>
      <c r="D655">
        <v>95351.28</v>
      </c>
      <c r="E655">
        <v>0</v>
      </c>
      <c r="F655">
        <v>0</v>
      </c>
      <c r="G655">
        <v>1546.58</v>
      </c>
    </row>
    <row r="656" spans="1:7" x14ac:dyDescent="0.2">
      <c r="A656" t="s">
        <v>777</v>
      </c>
      <c r="B656" t="s">
        <v>378</v>
      </c>
      <c r="C656">
        <v>94935.24</v>
      </c>
      <c r="D656">
        <v>93072.66</v>
      </c>
      <c r="E656">
        <v>0</v>
      </c>
      <c r="F656">
        <v>0</v>
      </c>
      <c r="G656">
        <v>1862.58</v>
      </c>
    </row>
    <row r="657" spans="1:7" x14ac:dyDescent="0.2">
      <c r="A657" t="s">
        <v>66</v>
      </c>
      <c r="B657" t="s">
        <v>56</v>
      </c>
      <c r="C657">
        <v>193445.61</v>
      </c>
      <c r="D657">
        <v>123468.49</v>
      </c>
      <c r="E657">
        <v>17998.61</v>
      </c>
      <c r="F657">
        <v>2086</v>
      </c>
      <c r="G657">
        <v>49892.51</v>
      </c>
    </row>
    <row r="658" spans="1:7" x14ac:dyDescent="0.2">
      <c r="A658" t="s">
        <v>190</v>
      </c>
      <c r="B658" t="s">
        <v>65</v>
      </c>
      <c r="C658">
        <v>136634.5</v>
      </c>
      <c r="D658">
        <v>90843.23</v>
      </c>
      <c r="E658">
        <v>11117.37</v>
      </c>
      <c r="F658">
        <v>0</v>
      </c>
      <c r="G658">
        <v>34673.9</v>
      </c>
    </row>
    <row r="659" spans="1:7" x14ac:dyDescent="0.2">
      <c r="A659" t="s">
        <v>111</v>
      </c>
      <c r="B659" t="s">
        <v>49</v>
      </c>
      <c r="C659">
        <v>162041.15</v>
      </c>
      <c r="D659">
        <v>111686.12</v>
      </c>
      <c r="E659">
        <v>6458.8</v>
      </c>
      <c r="F659">
        <v>602</v>
      </c>
      <c r="G659">
        <v>43294.23</v>
      </c>
    </row>
    <row r="660" spans="1:7" x14ac:dyDescent="0.2">
      <c r="A660" t="s">
        <v>903</v>
      </c>
      <c r="B660" t="s">
        <v>904</v>
      </c>
      <c r="C660">
        <v>88730.87</v>
      </c>
      <c r="D660">
        <v>56764.12</v>
      </c>
      <c r="E660">
        <v>17625.740000000002</v>
      </c>
      <c r="F660">
        <v>0</v>
      </c>
      <c r="G660">
        <v>14341.01</v>
      </c>
    </row>
    <row r="661" spans="1:7" x14ac:dyDescent="0.2">
      <c r="A661" t="s">
        <v>90</v>
      </c>
      <c r="B661" t="s">
        <v>65</v>
      </c>
      <c r="C661">
        <v>176037.65</v>
      </c>
      <c r="D661">
        <v>98676.95</v>
      </c>
      <c r="E661">
        <v>35783.75</v>
      </c>
      <c r="F661">
        <v>1939.5</v>
      </c>
      <c r="G661">
        <v>39637.449999999997</v>
      </c>
    </row>
    <row r="662" spans="1:7" x14ac:dyDescent="0.2">
      <c r="A662" t="s">
        <v>1533</v>
      </c>
      <c r="B662" t="s">
        <v>1492</v>
      </c>
      <c r="C662">
        <v>60160.59</v>
      </c>
      <c r="D662">
        <v>58482.25</v>
      </c>
      <c r="E662">
        <v>0</v>
      </c>
      <c r="F662">
        <v>0</v>
      </c>
      <c r="G662">
        <v>1678.34</v>
      </c>
    </row>
    <row r="663" spans="1:7" x14ac:dyDescent="0.2">
      <c r="A663" t="s">
        <v>280</v>
      </c>
      <c r="B663" t="s">
        <v>130</v>
      </c>
      <c r="C663">
        <v>122873.17</v>
      </c>
      <c r="D663">
        <v>82391.77</v>
      </c>
      <c r="E663">
        <v>9062.7000000000007</v>
      </c>
      <c r="F663">
        <v>0</v>
      </c>
      <c r="G663">
        <v>31418.7</v>
      </c>
    </row>
    <row r="664" spans="1:7" x14ac:dyDescent="0.2">
      <c r="A664" t="s">
        <v>1524</v>
      </c>
      <c r="B664" t="s">
        <v>1525</v>
      </c>
      <c r="C664">
        <v>60719.74</v>
      </c>
      <c r="D664">
        <v>60719.74</v>
      </c>
      <c r="E664">
        <v>0</v>
      </c>
      <c r="F664">
        <v>0</v>
      </c>
      <c r="G664">
        <v>0</v>
      </c>
    </row>
    <row r="665" spans="1:7" x14ac:dyDescent="0.2">
      <c r="A665" t="s">
        <v>861</v>
      </c>
      <c r="B665" t="s">
        <v>862</v>
      </c>
      <c r="C665">
        <v>91563.68</v>
      </c>
      <c r="D665">
        <v>86252.04</v>
      </c>
      <c r="E665">
        <v>0</v>
      </c>
      <c r="F665">
        <v>0</v>
      </c>
      <c r="G665">
        <v>5311.64</v>
      </c>
    </row>
    <row r="666" spans="1:7" x14ac:dyDescent="0.2">
      <c r="A666" t="s">
        <v>1067</v>
      </c>
      <c r="B666" t="s">
        <v>404</v>
      </c>
      <c r="C666">
        <v>79362.16</v>
      </c>
      <c r="D666">
        <v>77530.16</v>
      </c>
      <c r="E666">
        <v>0</v>
      </c>
      <c r="F666">
        <v>0</v>
      </c>
      <c r="G666">
        <v>1832</v>
      </c>
    </row>
    <row r="667" spans="1:7" x14ac:dyDescent="0.2">
      <c r="A667" t="s">
        <v>1642</v>
      </c>
      <c r="B667" t="s">
        <v>1643</v>
      </c>
      <c r="C667">
        <v>55343.41</v>
      </c>
      <c r="D667">
        <v>46005.05</v>
      </c>
      <c r="E667">
        <v>2529.92</v>
      </c>
      <c r="F667">
        <v>0</v>
      </c>
      <c r="G667">
        <v>6808.44</v>
      </c>
    </row>
    <row r="668" spans="1:7" x14ac:dyDescent="0.2">
      <c r="A668" t="s">
        <v>696</v>
      </c>
      <c r="B668" t="s">
        <v>448</v>
      </c>
      <c r="C668">
        <v>98346.12</v>
      </c>
      <c r="D668">
        <v>96444.96</v>
      </c>
      <c r="E668">
        <v>0</v>
      </c>
      <c r="F668">
        <v>0</v>
      </c>
      <c r="G668">
        <v>1901.16</v>
      </c>
    </row>
    <row r="669" spans="1:7" x14ac:dyDescent="0.2">
      <c r="A669" t="s">
        <v>1369</v>
      </c>
      <c r="B669" t="s">
        <v>1370</v>
      </c>
      <c r="C669">
        <v>66419.13</v>
      </c>
      <c r="D669">
        <v>65203.29</v>
      </c>
      <c r="E669">
        <v>0</v>
      </c>
      <c r="F669">
        <v>0</v>
      </c>
      <c r="G669">
        <v>1215.8399999999999</v>
      </c>
    </row>
    <row r="670" spans="1:7" x14ac:dyDescent="0.2">
      <c r="A670" t="s">
        <v>88</v>
      </c>
      <c r="B670" t="s">
        <v>32</v>
      </c>
      <c r="C670">
        <v>178982.54</v>
      </c>
      <c r="D670">
        <v>125910.25</v>
      </c>
      <c r="E670">
        <v>18727.53</v>
      </c>
      <c r="F670">
        <v>16952</v>
      </c>
      <c r="G670">
        <v>17392.759999999998</v>
      </c>
    </row>
    <row r="671" spans="1:7" x14ac:dyDescent="0.2">
      <c r="A671" t="s">
        <v>64</v>
      </c>
      <c r="B671" t="s">
        <v>65</v>
      </c>
      <c r="C671">
        <v>193525</v>
      </c>
      <c r="D671">
        <v>98676.97</v>
      </c>
      <c r="E671">
        <v>53210.12</v>
      </c>
      <c r="F671">
        <v>642</v>
      </c>
      <c r="G671">
        <v>40995.910000000003</v>
      </c>
    </row>
    <row r="672" spans="1:7" x14ac:dyDescent="0.2">
      <c r="A672" t="s">
        <v>374</v>
      </c>
      <c r="B672" t="s">
        <v>265</v>
      </c>
      <c r="C672">
        <v>113840.47</v>
      </c>
      <c r="D672">
        <v>110067.49</v>
      </c>
      <c r="E672">
        <v>0</v>
      </c>
      <c r="F672">
        <v>0</v>
      </c>
      <c r="G672">
        <v>3772.98</v>
      </c>
    </row>
    <row r="673" spans="1:7" x14ac:dyDescent="0.2">
      <c r="A673" t="s">
        <v>1108</v>
      </c>
      <c r="B673" t="s">
        <v>1109</v>
      </c>
      <c r="C673">
        <v>77855.679999999993</v>
      </c>
      <c r="D673">
        <v>76808.679999999993</v>
      </c>
      <c r="E673">
        <v>0</v>
      </c>
      <c r="F673">
        <v>0</v>
      </c>
      <c r="G673">
        <v>1047</v>
      </c>
    </row>
    <row r="674" spans="1:7" x14ac:dyDescent="0.2">
      <c r="A674" t="s">
        <v>624</v>
      </c>
      <c r="B674" t="s">
        <v>433</v>
      </c>
      <c r="C674">
        <v>101046.35</v>
      </c>
      <c r="D674">
        <v>94782.39</v>
      </c>
      <c r="E674">
        <v>0</v>
      </c>
      <c r="F674">
        <v>0</v>
      </c>
      <c r="G674">
        <v>6263.96</v>
      </c>
    </row>
    <row r="675" spans="1:7" x14ac:dyDescent="0.2">
      <c r="A675" t="s">
        <v>309</v>
      </c>
      <c r="B675" t="s">
        <v>24</v>
      </c>
      <c r="C675">
        <v>120945.86</v>
      </c>
      <c r="D675">
        <v>71952.39</v>
      </c>
      <c r="E675">
        <v>8461.49</v>
      </c>
      <c r="F675">
        <v>34940.5</v>
      </c>
      <c r="G675">
        <v>5591.48</v>
      </c>
    </row>
    <row r="676" spans="1:7" x14ac:dyDescent="0.2">
      <c r="A676" t="s">
        <v>119</v>
      </c>
      <c r="B676" t="s">
        <v>65</v>
      </c>
      <c r="C676">
        <v>156036.98000000001</v>
      </c>
      <c r="D676">
        <v>94643.09</v>
      </c>
      <c r="E676">
        <v>24749.42</v>
      </c>
      <c r="F676">
        <v>320</v>
      </c>
      <c r="G676">
        <v>36324.47</v>
      </c>
    </row>
    <row r="677" spans="1:7" x14ac:dyDescent="0.2">
      <c r="A677" t="s">
        <v>1207</v>
      </c>
      <c r="B677" t="s">
        <v>380</v>
      </c>
      <c r="C677">
        <v>73054.61</v>
      </c>
      <c r="D677">
        <v>57308.91</v>
      </c>
      <c r="E677">
        <v>6885.53</v>
      </c>
      <c r="F677">
        <v>0</v>
      </c>
      <c r="G677">
        <v>8860.17</v>
      </c>
    </row>
    <row r="678" spans="1:7" x14ac:dyDescent="0.2">
      <c r="A678" t="s">
        <v>216</v>
      </c>
      <c r="B678" t="s">
        <v>34</v>
      </c>
      <c r="C678">
        <v>132280.31</v>
      </c>
      <c r="D678">
        <v>114624.19</v>
      </c>
      <c r="E678">
        <v>2197.37</v>
      </c>
      <c r="F678">
        <v>2440</v>
      </c>
      <c r="G678">
        <v>13018.75</v>
      </c>
    </row>
    <row r="679" spans="1:7" x14ac:dyDescent="0.2">
      <c r="A679" t="s">
        <v>900</v>
      </c>
      <c r="B679" t="s">
        <v>130</v>
      </c>
      <c r="C679">
        <v>88849.15</v>
      </c>
      <c r="D679">
        <v>66183.64</v>
      </c>
      <c r="E679">
        <v>10656.76</v>
      </c>
      <c r="F679">
        <v>160</v>
      </c>
      <c r="G679">
        <v>11848.75</v>
      </c>
    </row>
    <row r="680" spans="1:7" x14ac:dyDescent="0.2">
      <c r="A680" t="s">
        <v>1153</v>
      </c>
      <c r="B680" t="s">
        <v>378</v>
      </c>
      <c r="C680">
        <v>76494.84</v>
      </c>
      <c r="D680">
        <v>74620.679999999993</v>
      </c>
      <c r="E680">
        <v>0</v>
      </c>
      <c r="F680">
        <v>0</v>
      </c>
      <c r="G680">
        <v>1874.16</v>
      </c>
    </row>
    <row r="681" spans="1:7" x14ac:dyDescent="0.2">
      <c r="A681" t="s">
        <v>1619</v>
      </c>
      <c r="B681" t="s">
        <v>1134</v>
      </c>
      <c r="C681">
        <v>56055.68</v>
      </c>
      <c r="D681">
        <v>45692.02</v>
      </c>
      <c r="E681">
        <v>824.58</v>
      </c>
      <c r="F681">
        <v>0</v>
      </c>
      <c r="G681">
        <v>9539.08</v>
      </c>
    </row>
    <row r="682" spans="1:7" x14ac:dyDescent="0.2">
      <c r="A682" t="s">
        <v>884</v>
      </c>
      <c r="B682" t="s">
        <v>24</v>
      </c>
      <c r="C682">
        <v>90034.38</v>
      </c>
      <c r="D682">
        <v>76197.86</v>
      </c>
      <c r="E682">
        <v>7211.94</v>
      </c>
      <c r="F682">
        <v>0</v>
      </c>
      <c r="G682">
        <v>6624.58</v>
      </c>
    </row>
    <row r="683" spans="1:7" x14ac:dyDescent="0.2">
      <c r="A683" t="s">
        <v>548</v>
      </c>
      <c r="B683" t="s">
        <v>330</v>
      </c>
      <c r="C683">
        <v>104447.82</v>
      </c>
      <c r="D683">
        <v>102219.66</v>
      </c>
      <c r="E683">
        <v>0</v>
      </c>
      <c r="F683">
        <v>0</v>
      </c>
      <c r="G683">
        <v>2228.16</v>
      </c>
    </row>
    <row r="684" spans="1:7" x14ac:dyDescent="0.2">
      <c r="A684" t="s">
        <v>1121</v>
      </c>
      <c r="B684" t="s">
        <v>920</v>
      </c>
      <c r="C684">
        <v>77390.52</v>
      </c>
      <c r="D684">
        <v>77290.52</v>
      </c>
      <c r="E684">
        <v>0</v>
      </c>
      <c r="F684">
        <v>0</v>
      </c>
      <c r="G684">
        <v>100</v>
      </c>
    </row>
    <row r="685" spans="1:7" x14ac:dyDescent="0.2">
      <c r="A685" t="s">
        <v>408</v>
      </c>
      <c r="B685" t="s">
        <v>404</v>
      </c>
      <c r="C685">
        <v>110872.97</v>
      </c>
      <c r="D685">
        <v>106827.81</v>
      </c>
      <c r="E685">
        <v>0</v>
      </c>
      <c r="F685">
        <v>0</v>
      </c>
      <c r="G685">
        <v>4045.16</v>
      </c>
    </row>
    <row r="686" spans="1:7" x14ac:dyDescent="0.2">
      <c r="A686" t="s">
        <v>356</v>
      </c>
      <c r="B686" t="s">
        <v>130</v>
      </c>
      <c r="C686">
        <v>116467.24</v>
      </c>
      <c r="D686">
        <v>76987.240000000005</v>
      </c>
      <c r="E686">
        <v>7761.95</v>
      </c>
      <c r="F686">
        <v>1444</v>
      </c>
      <c r="G686">
        <v>30274.05</v>
      </c>
    </row>
    <row r="687" spans="1:7" x14ac:dyDescent="0.2">
      <c r="A687" t="s">
        <v>834</v>
      </c>
      <c r="B687" t="s">
        <v>330</v>
      </c>
      <c r="C687">
        <v>92582.43</v>
      </c>
      <c r="D687">
        <v>92582.43</v>
      </c>
      <c r="E687">
        <v>0</v>
      </c>
      <c r="F687">
        <v>0</v>
      </c>
      <c r="G687">
        <v>0</v>
      </c>
    </row>
    <row r="688" spans="1:7" x14ac:dyDescent="0.2">
      <c r="A688" t="s">
        <v>807</v>
      </c>
      <c r="B688" t="s">
        <v>808</v>
      </c>
      <c r="C688">
        <v>93690.76</v>
      </c>
      <c r="D688">
        <v>84363.07</v>
      </c>
      <c r="E688">
        <v>1112.1500000000001</v>
      </c>
      <c r="F688">
        <v>0</v>
      </c>
      <c r="G688">
        <v>8215.5400000000009</v>
      </c>
    </row>
    <row r="689" spans="1:7" x14ac:dyDescent="0.2">
      <c r="A689" t="s">
        <v>1135</v>
      </c>
      <c r="B689" t="s">
        <v>1085</v>
      </c>
      <c r="C689">
        <v>76954.81</v>
      </c>
      <c r="D689">
        <v>76499.81</v>
      </c>
      <c r="E689">
        <v>0</v>
      </c>
      <c r="F689">
        <v>0</v>
      </c>
      <c r="G689">
        <v>455</v>
      </c>
    </row>
    <row r="690" spans="1:7" x14ac:dyDescent="0.2">
      <c r="A690" t="s">
        <v>947</v>
      </c>
      <c r="B690" t="s">
        <v>404</v>
      </c>
      <c r="C690">
        <v>85996.82</v>
      </c>
      <c r="D690">
        <v>74374.59</v>
      </c>
      <c r="E690">
        <v>0</v>
      </c>
      <c r="F690">
        <v>0</v>
      </c>
      <c r="G690">
        <v>11622.23</v>
      </c>
    </row>
    <row r="691" spans="1:7" x14ac:dyDescent="0.2">
      <c r="A691" t="s">
        <v>955</v>
      </c>
      <c r="B691" t="s">
        <v>956</v>
      </c>
      <c r="C691">
        <v>85449.58</v>
      </c>
      <c r="D691">
        <v>52658.16</v>
      </c>
      <c r="E691">
        <v>19396.3</v>
      </c>
      <c r="F691">
        <v>0</v>
      </c>
      <c r="G691">
        <v>13395.12</v>
      </c>
    </row>
    <row r="692" spans="1:7" x14ac:dyDescent="0.2">
      <c r="A692" t="s">
        <v>1693</v>
      </c>
      <c r="B692" t="s">
        <v>330</v>
      </c>
      <c r="C692">
        <v>52977.16</v>
      </c>
      <c r="D692">
        <v>51137.16</v>
      </c>
      <c r="E692">
        <v>0</v>
      </c>
      <c r="F692">
        <v>0</v>
      </c>
      <c r="G692">
        <v>1840</v>
      </c>
    </row>
    <row r="693" spans="1:7" x14ac:dyDescent="0.2">
      <c r="A693" t="s">
        <v>1021</v>
      </c>
      <c r="B693" t="s">
        <v>1022</v>
      </c>
      <c r="C693">
        <v>81423.929999999993</v>
      </c>
      <c r="D693">
        <v>48333.18</v>
      </c>
      <c r="E693">
        <v>24344.87</v>
      </c>
      <c r="F693">
        <v>0</v>
      </c>
      <c r="G693">
        <v>8745.8799999999992</v>
      </c>
    </row>
    <row r="694" spans="1:7" x14ac:dyDescent="0.2">
      <c r="A694" t="s">
        <v>694</v>
      </c>
      <c r="B694" t="s">
        <v>695</v>
      </c>
      <c r="C694">
        <v>98356.72</v>
      </c>
      <c r="D694">
        <v>97363.91</v>
      </c>
      <c r="E694">
        <v>0</v>
      </c>
      <c r="F694">
        <v>0</v>
      </c>
      <c r="G694">
        <v>992.81</v>
      </c>
    </row>
    <row r="695" spans="1:7" x14ac:dyDescent="0.2">
      <c r="A695" t="s">
        <v>1029</v>
      </c>
      <c r="B695" t="s">
        <v>1030</v>
      </c>
      <c r="C695">
        <v>80895.399999999994</v>
      </c>
      <c r="D695">
        <v>78780.44</v>
      </c>
      <c r="E695">
        <v>675.26</v>
      </c>
      <c r="F695">
        <v>0</v>
      </c>
      <c r="G695">
        <v>1439.7</v>
      </c>
    </row>
    <row r="696" spans="1:7" x14ac:dyDescent="0.2">
      <c r="A696" t="s">
        <v>268</v>
      </c>
      <c r="B696" t="s">
        <v>269</v>
      </c>
      <c r="C696">
        <v>124091.32</v>
      </c>
      <c r="D696">
        <v>95470.55</v>
      </c>
      <c r="E696">
        <v>0</v>
      </c>
      <c r="F696">
        <v>0</v>
      </c>
      <c r="G696">
        <v>28620.77</v>
      </c>
    </row>
    <row r="697" spans="1:7" x14ac:dyDescent="0.2">
      <c r="A697" t="s">
        <v>1683</v>
      </c>
      <c r="B697" t="s">
        <v>1684</v>
      </c>
      <c r="C697">
        <v>53570.54</v>
      </c>
      <c r="D697">
        <v>53570.54</v>
      </c>
      <c r="E697">
        <v>0</v>
      </c>
      <c r="F697">
        <v>0</v>
      </c>
      <c r="G697">
        <v>0</v>
      </c>
    </row>
    <row r="698" spans="1:7" x14ac:dyDescent="0.2">
      <c r="A698" t="s">
        <v>1538</v>
      </c>
      <c r="B698" t="s">
        <v>404</v>
      </c>
      <c r="C698">
        <v>60033.37</v>
      </c>
      <c r="D698">
        <v>59231.37</v>
      </c>
      <c r="E698">
        <v>0</v>
      </c>
      <c r="F698">
        <v>0</v>
      </c>
      <c r="G698">
        <v>802</v>
      </c>
    </row>
    <row r="699" spans="1:7" x14ac:dyDescent="0.2">
      <c r="A699" t="s">
        <v>303</v>
      </c>
      <c r="B699" t="s">
        <v>304</v>
      </c>
      <c r="C699">
        <v>121380.29</v>
      </c>
      <c r="D699">
        <v>121380.29</v>
      </c>
      <c r="E699">
        <v>0</v>
      </c>
      <c r="F699">
        <v>0</v>
      </c>
      <c r="G699">
        <v>0</v>
      </c>
    </row>
    <row r="700" spans="1:7" x14ac:dyDescent="0.2">
      <c r="A700" t="s">
        <v>1700</v>
      </c>
      <c r="B700" t="s">
        <v>1357</v>
      </c>
      <c r="C700">
        <v>52783.23</v>
      </c>
      <c r="D700">
        <v>42659.94</v>
      </c>
      <c r="E700">
        <v>5945</v>
      </c>
      <c r="F700">
        <v>0</v>
      </c>
      <c r="G700">
        <v>4178.29</v>
      </c>
    </row>
    <row r="701" spans="1:7" x14ac:dyDescent="0.2">
      <c r="A701" t="s">
        <v>297</v>
      </c>
      <c r="B701" t="s">
        <v>298</v>
      </c>
      <c r="C701">
        <v>121645.15</v>
      </c>
      <c r="D701">
        <v>121145.15</v>
      </c>
      <c r="E701">
        <v>0</v>
      </c>
      <c r="F701">
        <v>0</v>
      </c>
      <c r="G701">
        <v>500</v>
      </c>
    </row>
    <row r="702" spans="1:7" x14ac:dyDescent="0.2">
      <c r="A702" t="s">
        <v>1327</v>
      </c>
      <c r="B702" t="s">
        <v>330</v>
      </c>
      <c r="C702">
        <v>68011.679999999993</v>
      </c>
      <c r="D702">
        <v>68011.679999999993</v>
      </c>
      <c r="E702">
        <v>0</v>
      </c>
      <c r="F702">
        <v>0</v>
      </c>
      <c r="G702">
        <v>0</v>
      </c>
    </row>
    <row r="703" spans="1:7" x14ac:dyDescent="0.2">
      <c r="A703" t="s">
        <v>432</v>
      </c>
      <c r="B703" t="s">
        <v>433</v>
      </c>
      <c r="C703">
        <v>109557.99</v>
      </c>
      <c r="D703">
        <v>97517.64</v>
      </c>
      <c r="E703">
        <v>0</v>
      </c>
      <c r="F703">
        <v>0</v>
      </c>
      <c r="G703">
        <v>12040.35</v>
      </c>
    </row>
    <row r="704" spans="1:7" x14ac:dyDescent="0.2">
      <c r="A704" t="s">
        <v>381</v>
      </c>
      <c r="B704" t="s">
        <v>293</v>
      </c>
      <c r="C704">
        <v>113020.21</v>
      </c>
      <c r="D704">
        <v>111023</v>
      </c>
      <c r="E704">
        <v>0</v>
      </c>
      <c r="F704">
        <v>0</v>
      </c>
      <c r="G704">
        <v>1997.21</v>
      </c>
    </row>
    <row r="705" spans="1:7" x14ac:dyDescent="0.2">
      <c r="A705" t="s">
        <v>1462</v>
      </c>
      <c r="B705" t="s">
        <v>1134</v>
      </c>
      <c r="C705">
        <v>63082.29</v>
      </c>
      <c r="D705">
        <v>50261.67</v>
      </c>
      <c r="E705">
        <v>2087.73</v>
      </c>
      <c r="F705">
        <v>0</v>
      </c>
      <c r="G705">
        <v>10732.89</v>
      </c>
    </row>
    <row r="706" spans="1:7" x14ac:dyDescent="0.2">
      <c r="A706" t="s">
        <v>105</v>
      </c>
      <c r="B706" t="s">
        <v>106</v>
      </c>
      <c r="C706">
        <v>165831.97</v>
      </c>
      <c r="D706">
        <v>163332.85</v>
      </c>
      <c r="E706">
        <v>0</v>
      </c>
      <c r="F706">
        <v>0</v>
      </c>
      <c r="G706">
        <v>2499.12</v>
      </c>
    </row>
    <row r="707" spans="1:7" x14ac:dyDescent="0.2">
      <c r="A707" t="s">
        <v>1446</v>
      </c>
      <c r="B707" t="s">
        <v>1306</v>
      </c>
      <c r="C707">
        <v>63923.91</v>
      </c>
      <c r="D707">
        <v>60848.33</v>
      </c>
      <c r="E707">
        <v>579.37</v>
      </c>
      <c r="F707">
        <v>0</v>
      </c>
      <c r="G707">
        <v>2496.21</v>
      </c>
    </row>
    <row r="708" spans="1:7" x14ac:dyDescent="0.2">
      <c r="A708" t="s">
        <v>1042</v>
      </c>
      <c r="B708" t="s">
        <v>330</v>
      </c>
      <c r="C708">
        <v>80374.740000000005</v>
      </c>
      <c r="D708">
        <v>80374.740000000005</v>
      </c>
      <c r="E708">
        <v>0</v>
      </c>
      <c r="F708">
        <v>0</v>
      </c>
      <c r="G708">
        <v>0</v>
      </c>
    </row>
    <row r="709" spans="1:7" x14ac:dyDescent="0.2">
      <c r="A709" t="s">
        <v>613</v>
      </c>
      <c r="B709" t="s">
        <v>24</v>
      </c>
      <c r="C709">
        <v>101547.87</v>
      </c>
      <c r="D709">
        <v>60520.94</v>
      </c>
      <c r="E709">
        <v>8754.17</v>
      </c>
      <c r="F709">
        <v>27421</v>
      </c>
      <c r="G709">
        <v>4851.76</v>
      </c>
    </row>
    <row r="710" spans="1:7" x14ac:dyDescent="0.2">
      <c r="A710" t="s">
        <v>864</v>
      </c>
      <c r="B710" t="s">
        <v>24</v>
      </c>
      <c r="C710">
        <v>91202.1</v>
      </c>
      <c r="D710">
        <v>60584.94</v>
      </c>
      <c r="E710">
        <v>13403.4</v>
      </c>
      <c r="F710">
        <v>12262</v>
      </c>
      <c r="G710">
        <v>4951.76</v>
      </c>
    </row>
    <row r="711" spans="1:7" x14ac:dyDescent="0.2">
      <c r="A711" t="s">
        <v>611</v>
      </c>
      <c r="B711" t="s">
        <v>378</v>
      </c>
      <c r="C711">
        <v>101733.01</v>
      </c>
      <c r="D711">
        <v>95795.01</v>
      </c>
      <c r="E711">
        <v>0</v>
      </c>
      <c r="F711">
        <v>0</v>
      </c>
      <c r="G711">
        <v>5938</v>
      </c>
    </row>
    <row r="712" spans="1:7" x14ac:dyDescent="0.2">
      <c r="A712" t="s">
        <v>53</v>
      </c>
      <c r="B712" t="s">
        <v>26</v>
      </c>
      <c r="C712">
        <v>207353.74</v>
      </c>
      <c r="D712">
        <v>137199.34</v>
      </c>
      <c r="E712">
        <v>21002.6</v>
      </c>
      <c r="F712">
        <v>648</v>
      </c>
      <c r="G712">
        <v>48503.8</v>
      </c>
    </row>
    <row r="713" spans="1:7" x14ac:dyDescent="0.2">
      <c r="A713" t="s">
        <v>1521</v>
      </c>
      <c r="B713" t="s">
        <v>1357</v>
      </c>
      <c r="C713">
        <v>60982.71</v>
      </c>
      <c r="D713">
        <v>50576.26</v>
      </c>
      <c r="E713">
        <v>1875.31</v>
      </c>
      <c r="F713">
        <v>0</v>
      </c>
      <c r="G713">
        <v>8531.14</v>
      </c>
    </row>
    <row r="714" spans="1:7" x14ac:dyDescent="0.2">
      <c r="A714" t="s">
        <v>1071</v>
      </c>
      <c r="B714" t="s">
        <v>330</v>
      </c>
      <c r="C714">
        <v>79308.81</v>
      </c>
      <c r="D714">
        <v>79173.81</v>
      </c>
      <c r="E714">
        <v>0</v>
      </c>
      <c r="F714">
        <v>0</v>
      </c>
      <c r="G714">
        <v>135</v>
      </c>
    </row>
    <row r="715" spans="1:7" x14ac:dyDescent="0.2">
      <c r="A715" t="s">
        <v>1158</v>
      </c>
      <c r="B715" t="s">
        <v>1159</v>
      </c>
      <c r="C715">
        <v>76456.88</v>
      </c>
      <c r="D715">
        <v>76456.88</v>
      </c>
      <c r="E715">
        <v>0</v>
      </c>
      <c r="F715">
        <v>0</v>
      </c>
      <c r="G715">
        <v>0</v>
      </c>
    </row>
    <row r="716" spans="1:7" x14ac:dyDescent="0.2">
      <c r="A716" t="s">
        <v>1547</v>
      </c>
      <c r="B716" t="s">
        <v>404</v>
      </c>
      <c r="C716">
        <v>59729.68</v>
      </c>
      <c r="D716">
        <v>57262.68</v>
      </c>
      <c r="E716">
        <v>0</v>
      </c>
      <c r="F716">
        <v>0</v>
      </c>
      <c r="G716">
        <v>2467</v>
      </c>
    </row>
    <row r="717" spans="1:7" x14ac:dyDescent="0.2">
      <c r="A717" t="s">
        <v>1026</v>
      </c>
      <c r="B717" t="s">
        <v>448</v>
      </c>
      <c r="C717">
        <v>81030.740000000005</v>
      </c>
      <c r="D717">
        <v>75978.38</v>
      </c>
      <c r="E717">
        <v>0</v>
      </c>
      <c r="F717">
        <v>0</v>
      </c>
      <c r="G717">
        <v>5052.3599999999997</v>
      </c>
    </row>
    <row r="718" spans="1:7" x14ac:dyDescent="0.2">
      <c r="A718" t="s">
        <v>1705</v>
      </c>
      <c r="B718" t="s">
        <v>1706</v>
      </c>
      <c r="C718">
        <v>52299.94</v>
      </c>
      <c r="D718">
        <v>48299.94</v>
      </c>
      <c r="E718">
        <v>0</v>
      </c>
      <c r="F718">
        <v>0</v>
      </c>
      <c r="G718">
        <v>4000</v>
      </c>
    </row>
    <row r="719" spans="1:7" x14ac:dyDescent="0.2">
      <c r="A719" t="s">
        <v>311</v>
      </c>
      <c r="B719" t="s">
        <v>312</v>
      </c>
      <c r="C719">
        <v>120842.2</v>
      </c>
      <c r="D719">
        <v>114592.2</v>
      </c>
      <c r="E719">
        <v>0</v>
      </c>
      <c r="F719">
        <v>0</v>
      </c>
      <c r="G719">
        <v>6250</v>
      </c>
    </row>
    <row r="720" spans="1:7" x14ac:dyDescent="0.2">
      <c r="A720" t="s">
        <v>223</v>
      </c>
      <c r="B720" t="s">
        <v>224</v>
      </c>
      <c r="C720">
        <v>131485.79999999999</v>
      </c>
      <c r="D720">
        <v>85797.04</v>
      </c>
      <c r="E720">
        <v>11090.4</v>
      </c>
      <c r="F720">
        <v>3218</v>
      </c>
      <c r="G720">
        <v>31380.36</v>
      </c>
    </row>
    <row r="721" spans="1:7" x14ac:dyDescent="0.2">
      <c r="A721" t="s">
        <v>1297</v>
      </c>
      <c r="B721" t="s">
        <v>378</v>
      </c>
      <c r="C721">
        <v>69380.899999999994</v>
      </c>
      <c r="D721">
        <v>68730.899999999994</v>
      </c>
      <c r="E721">
        <v>0</v>
      </c>
      <c r="F721">
        <v>0</v>
      </c>
      <c r="G721">
        <v>650</v>
      </c>
    </row>
    <row r="722" spans="1:7" x14ac:dyDescent="0.2">
      <c r="A722" t="s">
        <v>27</v>
      </c>
      <c r="B722" t="s">
        <v>28</v>
      </c>
      <c r="C722">
        <v>253993.08</v>
      </c>
      <c r="D722">
        <v>139136.56</v>
      </c>
      <c r="E722">
        <v>51784.18</v>
      </c>
      <c r="F722">
        <v>50662.5</v>
      </c>
      <c r="G722">
        <v>12409.84</v>
      </c>
    </row>
    <row r="723" spans="1:7" x14ac:dyDescent="0.2">
      <c r="A723" t="s">
        <v>849</v>
      </c>
      <c r="B723" t="s">
        <v>850</v>
      </c>
      <c r="C723">
        <v>91827.29</v>
      </c>
      <c r="D723">
        <v>88675.71</v>
      </c>
      <c r="E723">
        <v>0</v>
      </c>
      <c r="F723">
        <v>0</v>
      </c>
      <c r="G723">
        <v>3151.58</v>
      </c>
    </row>
    <row r="724" spans="1:7" x14ac:dyDescent="0.2">
      <c r="A724" t="s">
        <v>793</v>
      </c>
      <c r="B724" t="s">
        <v>330</v>
      </c>
      <c r="C724">
        <v>94250.82</v>
      </c>
      <c r="D724">
        <v>92017.29</v>
      </c>
      <c r="E724">
        <v>0</v>
      </c>
      <c r="F724">
        <v>0</v>
      </c>
      <c r="G724">
        <v>2233.5300000000002</v>
      </c>
    </row>
    <row r="725" spans="1:7" x14ac:dyDescent="0.2">
      <c r="A725" t="s">
        <v>179</v>
      </c>
      <c r="B725" t="s">
        <v>130</v>
      </c>
      <c r="C725">
        <v>140723.26</v>
      </c>
      <c r="D725">
        <v>87782.32</v>
      </c>
      <c r="E725">
        <v>17196.75</v>
      </c>
      <c r="F725">
        <v>200</v>
      </c>
      <c r="G725">
        <v>35544.19</v>
      </c>
    </row>
    <row r="726" spans="1:7" x14ac:dyDescent="0.2">
      <c r="A726" t="s">
        <v>323</v>
      </c>
      <c r="B726" t="s">
        <v>130</v>
      </c>
      <c r="C726">
        <v>120215.67999999999</v>
      </c>
      <c r="D726">
        <v>83454.880000000005</v>
      </c>
      <c r="E726">
        <v>6118.42</v>
      </c>
      <c r="F726">
        <v>0</v>
      </c>
      <c r="G726">
        <v>30642.38</v>
      </c>
    </row>
    <row r="727" spans="1:7" x14ac:dyDescent="0.2">
      <c r="A727" t="s">
        <v>228</v>
      </c>
      <c r="B727" t="s">
        <v>130</v>
      </c>
      <c r="C727">
        <v>129957.22</v>
      </c>
      <c r="D727">
        <v>84393.68</v>
      </c>
      <c r="E727">
        <v>13680.66</v>
      </c>
      <c r="F727">
        <v>321</v>
      </c>
      <c r="G727">
        <v>31561.88</v>
      </c>
    </row>
    <row r="728" spans="1:7" x14ac:dyDescent="0.2">
      <c r="A728" t="s">
        <v>376</v>
      </c>
      <c r="B728" t="s">
        <v>130</v>
      </c>
      <c r="C728">
        <v>113447.81</v>
      </c>
      <c r="D728">
        <v>80297.89</v>
      </c>
      <c r="E728">
        <v>0</v>
      </c>
      <c r="F728">
        <v>1308</v>
      </c>
      <c r="G728">
        <v>31841.919999999998</v>
      </c>
    </row>
    <row r="729" spans="1:7" x14ac:dyDescent="0.2">
      <c r="A729" t="s">
        <v>1491</v>
      </c>
      <c r="B729" t="s">
        <v>1492</v>
      </c>
      <c r="C729">
        <v>61816.91</v>
      </c>
      <c r="D729">
        <v>58482.25</v>
      </c>
      <c r="E729">
        <v>0</v>
      </c>
      <c r="F729">
        <v>0</v>
      </c>
      <c r="G729">
        <v>3334.66</v>
      </c>
    </row>
    <row r="730" spans="1:7" x14ac:dyDescent="0.2">
      <c r="A730" t="s">
        <v>1205</v>
      </c>
      <c r="B730" t="s">
        <v>404</v>
      </c>
      <c r="C730">
        <v>73178.52</v>
      </c>
      <c r="D730">
        <v>71824.02</v>
      </c>
      <c r="E730">
        <v>0</v>
      </c>
      <c r="F730">
        <v>0</v>
      </c>
      <c r="G730">
        <v>1354.5</v>
      </c>
    </row>
    <row r="731" spans="1:7" x14ac:dyDescent="0.2">
      <c r="A731" t="s">
        <v>1585</v>
      </c>
      <c r="B731" t="s">
        <v>330</v>
      </c>
      <c r="C731">
        <v>58312.68</v>
      </c>
      <c r="D731">
        <v>57262.68</v>
      </c>
      <c r="E731">
        <v>0</v>
      </c>
      <c r="F731">
        <v>0</v>
      </c>
      <c r="G731">
        <v>1050</v>
      </c>
    </row>
    <row r="732" spans="1:7" x14ac:dyDescent="0.2">
      <c r="A732" t="s">
        <v>55</v>
      </c>
      <c r="B732" t="s">
        <v>56</v>
      </c>
      <c r="C732">
        <v>203238.49</v>
      </c>
      <c r="D732">
        <v>125587.45</v>
      </c>
      <c r="E732">
        <v>25874.81</v>
      </c>
      <c r="F732">
        <v>0</v>
      </c>
      <c r="G732">
        <v>51776.23</v>
      </c>
    </row>
    <row r="733" spans="1:7" x14ac:dyDescent="0.2">
      <c r="A733" t="s">
        <v>441</v>
      </c>
      <c r="B733" t="s">
        <v>330</v>
      </c>
      <c r="C733">
        <v>109136.87</v>
      </c>
      <c r="D733">
        <v>108081.87</v>
      </c>
      <c r="E733">
        <v>0</v>
      </c>
      <c r="F733">
        <v>0</v>
      </c>
      <c r="G733">
        <v>1055</v>
      </c>
    </row>
    <row r="734" spans="1:7" x14ac:dyDescent="0.2">
      <c r="A734" t="s">
        <v>95</v>
      </c>
      <c r="B734" t="s">
        <v>24</v>
      </c>
      <c r="C734">
        <v>173545.38</v>
      </c>
      <c r="D734">
        <v>70920.289999999994</v>
      </c>
      <c r="E734">
        <v>15545.52</v>
      </c>
      <c r="F734">
        <v>79860</v>
      </c>
      <c r="G734">
        <v>7219.57</v>
      </c>
    </row>
    <row r="735" spans="1:7" x14ac:dyDescent="0.2">
      <c r="A735" t="s">
        <v>267</v>
      </c>
      <c r="B735" t="s">
        <v>24</v>
      </c>
      <c r="C735">
        <v>124200.46</v>
      </c>
      <c r="D735">
        <v>80966.8</v>
      </c>
      <c r="E735">
        <v>2066.16</v>
      </c>
      <c r="F735">
        <v>33128</v>
      </c>
      <c r="G735">
        <v>8039.5</v>
      </c>
    </row>
    <row r="736" spans="1:7" x14ac:dyDescent="0.2">
      <c r="A736" t="s">
        <v>1360</v>
      </c>
      <c r="B736" t="s">
        <v>380</v>
      </c>
      <c r="C736">
        <v>66770.16</v>
      </c>
      <c r="D736">
        <v>58484.75</v>
      </c>
      <c r="E736">
        <v>1408.53</v>
      </c>
      <c r="F736">
        <v>0</v>
      </c>
      <c r="G736">
        <v>6876.88</v>
      </c>
    </row>
    <row r="737" spans="1:7" x14ac:dyDescent="0.2">
      <c r="A737" t="s">
        <v>805</v>
      </c>
      <c r="B737" t="s">
        <v>724</v>
      </c>
      <c r="C737">
        <v>93783.02</v>
      </c>
      <c r="D737">
        <v>93583.02</v>
      </c>
      <c r="E737">
        <v>0</v>
      </c>
      <c r="F737">
        <v>0</v>
      </c>
      <c r="G737">
        <v>200</v>
      </c>
    </row>
    <row r="738" spans="1:7" x14ac:dyDescent="0.2">
      <c r="A738" t="s">
        <v>517</v>
      </c>
      <c r="B738" t="s">
        <v>378</v>
      </c>
      <c r="C738">
        <v>105346.95</v>
      </c>
      <c r="D738">
        <v>104577.81</v>
      </c>
      <c r="E738">
        <v>0</v>
      </c>
      <c r="F738">
        <v>0</v>
      </c>
      <c r="G738">
        <v>769.14</v>
      </c>
    </row>
    <row r="739" spans="1:7" x14ac:dyDescent="0.2">
      <c r="A739" t="s">
        <v>1382</v>
      </c>
      <c r="B739" t="s">
        <v>1081</v>
      </c>
      <c r="C739">
        <v>66201.759999999995</v>
      </c>
      <c r="D739">
        <v>66201.759999999995</v>
      </c>
      <c r="E739">
        <v>0</v>
      </c>
      <c r="F739">
        <v>0</v>
      </c>
      <c r="G739">
        <v>0</v>
      </c>
    </row>
    <row r="740" spans="1:7" x14ac:dyDescent="0.2">
      <c r="A740" t="s">
        <v>580</v>
      </c>
      <c r="B740" t="s">
        <v>581</v>
      </c>
      <c r="C740">
        <v>102980.84</v>
      </c>
      <c r="D740">
        <v>102980.84</v>
      </c>
      <c r="E740">
        <v>0</v>
      </c>
      <c r="F740">
        <v>0</v>
      </c>
      <c r="G740">
        <v>0</v>
      </c>
    </row>
    <row r="741" spans="1:7" x14ac:dyDescent="0.2">
      <c r="A741" t="s">
        <v>1215</v>
      </c>
      <c r="B741" t="s">
        <v>1024</v>
      </c>
      <c r="C741">
        <v>72773.48</v>
      </c>
      <c r="D741">
        <v>59186.43</v>
      </c>
      <c r="E741">
        <v>2145.54</v>
      </c>
      <c r="F741">
        <v>0</v>
      </c>
      <c r="G741">
        <v>11441.51</v>
      </c>
    </row>
    <row r="742" spans="1:7" x14ac:dyDescent="0.2">
      <c r="A742" t="s">
        <v>794</v>
      </c>
      <c r="B742" t="s">
        <v>330</v>
      </c>
      <c r="C742">
        <v>94245</v>
      </c>
      <c r="D742">
        <v>94245</v>
      </c>
      <c r="E742">
        <v>0</v>
      </c>
      <c r="F742">
        <v>0</v>
      </c>
      <c r="G742">
        <v>0</v>
      </c>
    </row>
    <row r="743" spans="1:7" x14ac:dyDescent="0.2">
      <c r="A743" t="s">
        <v>835</v>
      </c>
      <c r="B743" t="s">
        <v>330</v>
      </c>
      <c r="C743">
        <v>92582.43</v>
      </c>
      <c r="D743">
        <v>92582.43</v>
      </c>
      <c r="E743">
        <v>0</v>
      </c>
      <c r="F743">
        <v>0</v>
      </c>
      <c r="G743">
        <v>0</v>
      </c>
    </row>
    <row r="744" spans="1:7" x14ac:dyDescent="0.2">
      <c r="A744" t="s">
        <v>1099</v>
      </c>
      <c r="B744" t="s">
        <v>761</v>
      </c>
      <c r="C744">
        <v>78263.41</v>
      </c>
      <c r="D744">
        <v>61564.19</v>
      </c>
      <c r="E744">
        <v>1296.94</v>
      </c>
      <c r="F744">
        <v>0</v>
      </c>
      <c r="G744">
        <v>15402.28</v>
      </c>
    </row>
    <row r="745" spans="1:7" x14ac:dyDescent="0.2">
      <c r="A745" t="s">
        <v>220</v>
      </c>
      <c r="B745" t="s">
        <v>65</v>
      </c>
      <c r="C745">
        <v>131614.17000000001</v>
      </c>
      <c r="D745">
        <v>93327.44</v>
      </c>
      <c r="E745">
        <v>4441.55</v>
      </c>
      <c r="F745">
        <v>0</v>
      </c>
      <c r="G745">
        <v>33845.18</v>
      </c>
    </row>
    <row r="746" spans="1:7" x14ac:dyDescent="0.2">
      <c r="A746" t="s">
        <v>1050</v>
      </c>
      <c r="B746" t="s">
        <v>378</v>
      </c>
      <c r="C746">
        <v>79958.990000000005</v>
      </c>
      <c r="D746">
        <v>79360.990000000005</v>
      </c>
      <c r="E746">
        <v>0</v>
      </c>
      <c r="F746">
        <v>0</v>
      </c>
      <c r="G746">
        <v>598</v>
      </c>
    </row>
    <row r="747" spans="1:7" x14ac:dyDescent="0.2">
      <c r="A747" t="s">
        <v>527</v>
      </c>
      <c r="B747" t="s">
        <v>378</v>
      </c>
      <c r="C747">
        <v>105098.12</v>
      </c>
      <c r="D747">
        <v>102077.79</v>
      </c>
      <c r="E747">
        <v>0</v>
      </c>
      <c r="F747">
        <v>0</v>
      </c>
      <c r="G747">
        <v>3020.33</v>
      </c>
    </row>
    <row r="748" spans="1:7" x14ac:dyDescent="0.2">
      <c r="A748" t="s">
        <v>922</v>
      </c>
      <c r="B748" t="s">
        <v>687</v>
      </c>
      <c r="C748">
        <v>88018.07</v>
      </c>
      <c r="D748">
        <v>59809.36</v>
      </c>
      <c r="E748">
        <v>147.68</v>
      </c>
      <c r="F748">
        <v>0</v>
      </c>
      <c r="G748">
        <v>28061.03</v>
      </c>
    </row>
    <row r="749" spans="1:7" x14ac:dyDescent="0.2">
      <c r="A749" t="s">
        <v>935</v>
      </c>
      <c r="B749" t="s">
        <v>904</v>
      </c>
      <c r="C749">
        <v>87128.09</v>
      </c>
      <c r="D749">
        <v>56764.11</v>
      </c>
      <c r="E749">
        <v>17570.02</v>
      </c>
      <c r="F749">
        <v>0</v>
      </c>
      <c r="G749">
        <v>12793.96</v>
      </c>
    </row>
    <row r="750" spans="1:7" x14ac:dyDescent="0.2">
      <c r="A750" t="s">
        <v>1689</v>
      </c>
      <c r="B750" t="s">
        <v>1028</v>
      </c>
      <c r="C750">
        <v>53312.52</v>
      </c>
      <c r="D750">
        <v>49213.75</v>
      </c>
      <c r="E750">
        <v>504.56</v>
      </c>
      <c r="F750">
        <v>648.72</v>
      </c>
      <c r="G750">
        <v>2945.49</v>
      </c>
    </row>
    <row r="751" spans="1:7" x14ac:dyDescent="0.2">
      <c r="A751" t="s">
        <v>299</v>
      </c>
      <c r="B751" t="s">
        <v>300</v>
      </c>
      <c r="C751">
        <v>121548.03</v>
      </c>
      <c r="D751">
        <v>119844.29</v>
      </c>
      <c r="E751">
        <v>0</v>
      </c>
      <c r="F751">
        <v>0</v>
      </c>
      <c r="G751">
        <v>1703.74</v>
      </c>
    </row>
    <row r="752" spans="1:7" x14ac:dyDescent="0.2">
      <c r="A752" t="s">
        <v>1566</v>
      </c>
      <c r="B752" t="s">
        <v>330</v>
      </c>
      <c r="C752">
        <v>59124.93</v>
      </c>
      <c r="D752">
        <v>57253.68</v>
      </c>
      <c r="E752">
        <v>0</v>
      </c>
      <c r="F752">
        <v>0</v>
      </c>
      <c r="G752">
        <v>1871.25</v>
      </c>
    </row>
    <row r="753" spans="1:7" x14ac:dyDescent="0.2">
      <c r="A753" t="s">
        <v>35</v>
      </c>
      <c r="B753" t="s">
        <v>24</v>
      </c>
      <c r="C753">
        <v>228377.83</v>
      </c>
      <c r="D753">
        <v>72000.350000000006</v>
      </c>
      <c r="E753">
        <v>31484.58</v>
      </c>
      <c r="F753">
        <v>118614.75</v>
      </c>
      <c r="G753">
        <v>6278.15</v>
      </c>
    </row>
    <row r="754" spans="1:7" x14ac:dyDescent="0.2">
      <c r="A754" t="s">
        <v>1668</v>
      </c>
      <c r="B754" t="s">
        <v>1669</v>
      </c>
      <c r="C754">
        <v>54157.22</v>
      </c>
      <c r="D754">
        <v>53570.55</v>
      </c>
      <c r="E754">
        <v>0</v>
      </c>
      <c r="F754">
        <v>0</v>
      </c>
      <c r="G754">
        <v>586.66999999999996</v>
      </c>
    </row>
    <row r="755" spans="1:7" x14ac:dyDescent="0.2">
      <c r="A755" t="s">
        <v>588</v>
      </c>
      <c r="B755" t="s">
        <v>519</v>
      </c>
      <c r="C755">
        <v>102615.48</v>
      </c>
      <c r="D755">
        <v>51747.9</v>
      </c>
      <c r="E755">
        <v>38503.68</v>
      </c>
      <c r="F755">
        <v>0</v>
      </c>
      <c r="G755">
        <v>12363.9</v>
      </c>
    </row>
    <row r="756" spans="1:7" x14ac:dyDescent="0.2">
      <c r="A756" t="s">
        <v>1250</v>
      </c>
      <c r="B756" t="s">
        <v>1148</v>
      </c>
      <c r="C756">
        <v>71034.59</v>
      </c>
      <c r="D756">
        <v>71034.59</v>
      </c>
      <c r="E756">
        <v>0</v>
      </c>
      <c r="F756">
        <v>0</v>
      </c>
      <c r="G756">
        <v>0</v>
      </c>
    </row>
    <row r="757" spans="1:7" x14ac:dyDescent="0.2">
      <c r="A757" t="s">
        <v>47</v>
      </c>
      <c r="B757" t="s">
        <v>26</v>
      </c>
      <c r="C757">
        <v>209125.65</v>
      </c>
      <c r="D757">
        <v>134942.54</v>
      </c>
      <c r="E757">
        <v>23179.66</v>
      </c>
      <c r="F757">
        <v>0</v>
      </c>
      <c r="G757">
        <v>51003.45</v>
      </c>
    </row>
    <row r="758" spans="1:7" x14ac:dyDescent="0.2">
      <c r="A758" t="s">
        <v>736</v>
      </c>
      <c r="B758" t="s">
        <v>687</v>
      </c>
      <c r="C758">
        <v>96563.82</v>
      </c>
      <c r="D758">
        <v>62010.400000000001</v>
      </c>
      <c r="E758">
        <v>927.31</v>
      </c>
      <c r="F758">
        <v>0</v>
      </c>
      <c r="G758">
        <v>33626.11</v>
      </c>
    </row>
    <row r="759" spans="1:7" x14ac:dyDescent="0.2">
      <c r="A759" t="s">
        <v>1320</v>
      </c>
      <c r="B759" t="s">
        <v>330</v>
      </c>
      <c r="C759">
        <v>68344.78</v>
      </c>
      <c r="D759">
        <v>60565.98</v>
      </c>
      <c r="E759">
        <v>0</v>
      </c>
      <c r="F759">
        <v>0</v>
      </c>
      <c r="G759">
        <v>7778.8</v>
      </c>
    </row>
    <row r="760" spans="1:7" x14ac:dyDescent="0.2">
      <c r="A760" t="s">
        <v>1283</v>
      </c>
      <c r="B760" t="s">
        <v>1284</v>
      </c>
      <c r="C760">
        <v>69705.960000000006</v>
      </c>
      <c r="D760">
        <v>68276.259999999995</v>
      </c>
      <c r="E760">
        <v>0</v>
      </c>
      <c r="F760">
        <v>0</v>
      </c>
      <c r="G760">
        <v>1429.7</v>
      </c>
    </row>
    <row r="761" spans="1:7" x14ac:dyDescent="0.2">
      <c r="A761" t="s">
        <v>1172</v>
      </c>
      <c r="B761" t="s">
        <v>378</v>
      </c>
      <c r="C761">
        <v>75887.88</v>
      </c>
      <c r="D761">
        <v>74430.2</v>
      </c>
      <c r="E761">
        <v>0</v>
      </c>
      <c r="F761">
        <v>0</v>
      </c>
      <c r="G761">
        <v>1457.68</v>
      </c>
    </row>
    <row r="762" spans="1:7" x14ac:dyDescent="0.2">
      <c r="A762" t="s">
        <v>978</v>
      </c>
      <c r="B762" t="s">
        <v>130</v>
      </c>
      <c r="C762">
        <v>83971.07</v>
      </c>
      <c r="D762">
        <v>63853.43</v>
      </c>
      <c r="E762">
        <v>10819.32</v>
      </c>
      <c r="F762">
        <v>0</v>
      </c>
      <c r="G762">
        <v>9298.32</v>
      </c>
    </row>
    <row r="763" spans="1:7" x14ac:dyDescent="0.2">
      <c r="A763" t="s">
        <v>367</v>
      </c>
      <c r="B763" t="s">
        <v>130</v>
      </c>
      <c r="C763">
        <v>115064.39</v>
      </c>
      <c r="D763">
        <v>79686.17</v>
      </c>
      <c r="E763">
        <v>4543.08</v>
      </c>
      <c r="F763">
        <v>0</v>
      </c>
      <c r="G763">
        <v>30835.14</v>
      </c>
    </row>
    <row r="764" spans="1:7" x14ac:dyDescent="0.2">
      <c r="A764" t="s">
        <v>392</v>
      </c>
      <c r="B764" t="s">
        <v>393</v>
      </c>
      <c r="C764">
        <v>112041.74</v>
      </c>
      <c r="D764">
        <v>111681.74</v>
      </c>
      <c r="E764">
        <v>0</v>
      </c>
      <c r="F764">
        <v>0</v>
      </c>
      <c r="G764">
        <v>360</v>
      </c>
    </row>
    <row r="765" spans="1:7" x14ac:dyDescent="0.2">
      <c r="A765" t="s">
        <v>1037</v>
      </c>
      <c r="B765" t="s">
        <v>330</v>
      </c>
      <c r="C765">
        <v>80507.89</v>
      </c>
      <c r="D765">
        <v>77630.89</v>
      </c>
      <c r="E765">
        <v>0</v>
      </c>
      <c r="F765">
        <v>0</v>
      </c>
      <c r="G765">
        <v>2877</v>
      </c>
    </row>
    <row r="766" spans="1:7" x14ac:dyDescent="0.2">
      <c r="A766" t="s">
        <v>1391</v>
      </c>
      <c r="B766" t="s">
        <v>1152</v>
      </c>
      <c r="C766">
        <v>65825.02</v>
      </c>
      <c r="D766">
        <v>65625.02</v>
      </c>
      <c r="E766">
        <v>0</v>
      </c>
      <c r="F766">
        <v>0</v>
      </c>
      <c r="G766">
        <v>200</v>
      </c>
    </row>
    <row r="767" spans="1:7" x14ac:dyDescent="0.2">
      <c r="A767" t="s">
        <v>350</v>
      </c>
      <c r="B767" t="s">
        <v>269</v>
      </c>
      <c r="C767">
        <v>117380.98</v>
      </c>
      <c r="D767">
        <v>116082.69</v>
      </c>
      <c r="E767">
        <v>0</v>
      </c>
      <c r="F767">
        <v>0</v>
      </c>
      <c r="G767">
        <v>1298.29</v>
      </c>
    </row>
    <row r="768" spans="1:7" x14ac:dyDescent="0.2">
      <c r="A768" t="s">
        <v>389</v>
      </c>
      <c r="B768" t="s">
        <v>265</v>
      </c>
      <c r="C768">
        <v>112217.84</v>
      </c>
      <c r="D768">
        <v>110925.41</v>
      </c>
      <c r="E768">
        <v>0</v>
      </c>
      <c r="F768">
        <v>0</v>
      </c>
      <c r="G768">
        <v>1292.43</v>
      </c>
    </row>
    <row r="769" spans="1:7" x14ac:dyDescent="0.2">
      <c r="A769" t="s">
        <v>1243</v>
      </c>
      <c r="B769" t="s">
        <v>378</v>
      </c>
      <c r="C769">
        <v>71556.94</v>
      </c>
      <c r="D769">
        <v>71556.94</v>
      </c>
      <c r="E769">
        <v>0</v>
      </c>
      <c r="F769">
        <v>0</v>
      </c>
      <c r="G769">
        <v>0</v>
      </c>
    </row>
    <row r="770" spans="1:7" x14ac:dyDescent="0.2">
      <c r="A770" t="s">
        <v>143</v>
      </c>
      <c r="B770" t="s">
        <v>65</v>
      </c>
      <c r="C770">
        <v>149316.6</v>
      </c>
      <c r="D770">
        <v>97912.29</v>
      </c>
      <c r="E770">
        <v>10863.17</v>
      </c>
      <c r="F770">
        <v>2989</v>
      </c>
      <c r="G770">
        <v>37552.14</v>
      </c>
    </row>
    <row r="771" spans="1:7" x14ac:dyDescent="0.2">
      <c r="A771" t="s">
        <v>1007</v>
      </c>
      <c r="B771" t="s">
        <v>378</v>
      </c>
      <c r="C771">
        <v>82222.490000000005</v>
      </c>
      <c r="D771">
        <v>81108.490000000005</v>
      </c>
      <c r="E771">
        <v>0</v>
      </c>
      <c r="F771">
        <v>0</v>
      </c>
      <c r="G771">
        <v>1114</v>
      </c>
    </row>
    <row r="772" spans="1:7" x14ac:dyDescent="0.2">
      <c r="A772" t="s">
        <v>1280</v>
      </c>
      <c r="B772" t="s">
        <v>1281</v>
      </c>
      <c r="C772">
        <v>69733.69</v>
      </c>
      <c r="D772">
        <v>67590.19</v>
      </c>
      <c r="E772">
        <v>9.4600000000000009</v>
      </c>
      <c r="F772">
        <v>0</v>
      </c>
      <c r="G772">
        <v>2134.04</v>
      </c>
    </row>
    <row r="773" spans="1:7" x14ac:dyDescent="0.2">
      <c r="A773" t="s">
        <v>102</v>
      </c>
      <c r="B773" t="s">
        <v>65</v>
      </c>
      <c r="C773">
        <v>167540.53</v>
      </c>
      <c r="D773">
        <v>97681.7</v>
      </c>
      <c r="E773">
        <v>30325.69</v>
      </c>
      <c r="F773">
        <v>0</v>
      </c>
      <c r="G773">
        <v>39533.14</v>
      </c>
    </row>
    <row r="774" spans="1:7" x14ac:dyDescent="0.2">
      <c r="A774" t="s">
        <v>399</v>
      </c>
      <c r="B774" t="s">
        <v>378</v>
      </c>
      <c r="C774">
        <v>111435</v>
      </c>
      <c r="D774">
        <v>106135</v>
      </c>
      <c r="E774">
        <v>0</v>
      </c>
      <c r="F774">
        <v>0</v>
      </c>
      <c r="G774">
        <v>5300</v>
      </c>
    </row>
    <row r="775" spans="1:7" x14ac:dyDescent="0.2">
      <c r="A775" t="s">
        <v>727</v>
      </c>
      <c r="B775" t="s">
        <v>448</v>
      </c>
      <c r="C775">
        <v>96952.72</v>
      </c>
      <c r="D775">
        <v>94088.34</v>
      </c>
      <c r="E775">
        <v>0</v>
      </c>
      <c r="F775">
        <v>0</v>
      </c>
      <c r="G775">
        <v>2864.38</v>
      </c>
    </row>
    <row r="776" spans="1:7" x14ac:dyDescent="0.2">
      <c r="A776" t="s">
        <v>1064</v>
      </c>
      <c r="B776" t="s">
        <v>378</v>
      </c>
      <c r="C776">
        <v>79395.81</v>
      </c>
      <c r="D776">
        <v>76742.31</v>
      </c>
      <c r="E776">
        <v>0</v>
      </c>
      <c r="F776">
        <v>0</v>
      </c>
      <c r="G776">
        <v>2653.5</v>
      </c>
    </row>
    <row r="777" spans="1:7" x14ac:dyDescent="0.2">
      <c r="A777" t="s">
        <v>435</v>
      </c>
      <c r="B777" t="s">
        <v>433</v>
      </c>
      <c r="C777">
        <v>109431.24</v>
      </c>
      <c r="D777">
        <v>102267.66</v>
      </c>
      <c r="E777">
        <v>0</v>
      </c>
      <c r="F777">
        <v>0</v>
      </c>
      <c r="G777">
        <v>7163.58</v>
      </c>
    </row>
    <row r="778" spans="1:7" x14ac:dyDescent="0.2">
      <c r="A778" t="s">
        <v>188</v>
      </c>
      <c r="B778" t="s">
        <v>106</v>
      </c>
      <c r="C778">
        <v>137085.22</v>
      </c>
      <c r="D778">
        <v>137085.22</v>
      </c>
      <c r="E778">
        <v>0</v>
      </c>
      <c r="F778">
        <v>0</v>
      </c>
      <c r="G778">
        <v>0</v>
      </c>
    </row>
    <row r="779" spans="1:7" x14ac:dyDescent="0.2">
      <c r="A779" t="s">
        <v>1647</v>
      </c>
      <c r="B779" t="s">
        <v>1134</v>
      </c>
      <c r="C779">
        <v>55296.97</v>
      </c>
      <c r="D779">
        <v>45691.89</v>
      </c>
      <c r="E779">
        <v>1032.0899999999999</v>
      </c>
      <c r="F779">
        <v>0</v>
      </c>
      <c r="G779">
        <v>8572.99</v>
      </c>
    </row>
    <row r="780" spans="1:7" x14ac:dyDescent="0.2">
      <c r="A780" t="s">
        <v>1351</v>
      </c>
      <c r="B780" t="s">
        <v>380</v>
      </c>
      <c r="C780">
        <v>66935.53</v>
      </c>
      <c r="D780">
        <v>57616.11</v>
      </c>
      <c r="E780">
        <v>3201.5</v>
      </c>
      <c r="F780">
        <v>0</v>
      </c>
      <c r="G780">
        <v>6117.92</v>
      </c>
    </row>
    <row r="781" spans="1:7" x14ac:dyDescent="0.2">
      <c r="A781" t="s">
        <v>1164</v>
      </c>
      <c r="B781" t="s">
        <v>330</v>
      </c>
      <c r="C781">
        <v>76290.66</v>
      </c>
      <c r="D781">
        <v>76290.66</v>
      </c>
      <c r="E781">
        <v>0</v>
      </c>
      <c r="F781">
        <v>0</v>
      </c>
      <c r="G781">
        <v>0</v>
      </c>
    </row>
    <row r="782" spans="1:7" x14ac:dyDescent="0.2">
      <c r="A782" t="s">
        <v>57</v>
      </c>
      <c r="B782" t="s">
        <v>26</v>
      </c>
      <c r="C782">
        <v>202304.08</v>
      </c>
      <c r="D782">
        <v>141594.54</v>
      </c>
      <c r="E782">
        <v>9647.91</v>
      </c>
      <c r="F782">
        <v>0</v>
      </c>
      <c r="G782">
        <v>51061.63</v>
      </c>
    </row>
    <row r="783" spans="1:7" x14ac:dyDescent="0.2">
      <c r="A783" t="s">
        <v>451</v>
      </c>
      <c r="B783" t="s">
        <v>404</v>
      </c>
      <c r="C783">
        <v>108436</v>
      </c>
      <c r="D783">
        <v>102427.86</v>
      </c>
      <c r="E783">
        <v>0</v>
      </c>
      <c r="F783">
        <v>0</v>
      </c>
      <c r="G783">
        <v>6008.14</v>
      </c>
    </row>
    <row r="784" spans="1:7" x14ac:dyDescent="0.2">
      <c r="A784" t="s">
        <v>1425</v>
      </c>
      <c r="B784" t="s">
        <v>1426</v>
      </c>
      <c r="C784">
        <v>64584.6</v>
      </c>
      <c r="D784">
        <v>64384.6</v>
      </c>
      <c r="E784">
        <v>0</v>
      </c>
      <c r="F784">
        <v>0</v>
      </c>
      <c r="G784">
        <v>200</v>
      </c>
    </row>
    <row r="785" spans="1:7" x14ac:dyDescent="0.2">
      <c r="A785" t="s">
        <v>233</v>
      </c>
      <c r="B785" t="s">
        <v>234</v>
      </c>
      <c r="C785">
        <v>129545.61</v>
      </c>
      <c r="D785">
        <v>127451.95</v>
      </c>
      <c r="E785">
        <v>0</v>
      </c>
      <c r="F785">
        <v>0</v>
      </c>
      <c r="G785">
        <v>2093.66</v>
      </c>
    </row>
    <row r="786" spans="1:7" x14ac:dyDescent="0.2">
      <c r="A786" t="s">
        <v>743</v>
      </c>
      <c r="B786" t="s">
        <v>24</v>
      </c>
      <c r="C786">
        <v>96250.41</v>
      </c>
      <c r="D786">
        <v>84638.64</v>
      </c>
      <c r="E786">
        <v>472.27</v>
      </c>
      <c r="F786">
        <v>0</v>
      </c>
      <c r="G786">
        <v>11139.5</v>
      </c>
    </row>
    <row r="787" spans="1:7" x14ac:dyDescent="0.2">
      <c r="A787" t="s">
        <v>1177</v>
      </c>
      <c r="B787" t="s">
        <v>404</v>
      </c>
      <c r="C787">
        <v>75446.12</v>
      </c>
      <c r="D787">
        <v>73692.12</v>
      </c>
      <c r="E787">
        <v>0</v>
      </c>
      <c r="F787">
        <v>0</v>
      </c>
      <c r="G787">
        <v>1754</v>
      </c>
    </row>
    <row r="788" spans="1:7" x14ac:dyDescent="0.2">
      <c r="A788" t="s">
        <v>270</v>
      </c>
      <c r="B788" t="s">
        <v>130</v>
      </c>
      <c r="C788">
        <v>124048.15</v>
      </c>
      <c r="D788">
        <v>80246.44</v>
      </c>
      <c r="E788">
        <v>10826.16</v>
      </c>
      <c r="F788">
        <v>1444</v>
      </c>
      <c r="G788">
        <v>31531.55</v>
      </c>
    </row>
    <row r="789" spans="1:7" x14ac:dyDescent="0.2">
      <c r="A789" t="s">
        <v>719</v>
      </c>
      <c r="B789" t="s">
        <v>378</v>
      </c>
      <c r="C789">
        <v>97452</v>
      </c>
      <c r="D789">
        <v>96088</v>
      </c>
      <c r="E789">
        <v>0</v>
      </c>
      <c r="F789">
        <v>0</v>
      </c>
      <c r="G789">
        <v>1364</v>
      </c>
    </row>
    <row r="790" spans="1:7" x14ac:dyDescent="0.2">
      <c r="A790" t="s">
        <v>1475</v>
      </c>
      <c r="B790" t="s">
        <v>1063</v>
      </c>
      <c r="C790">
        <v>62404.02</v>
      </c>
      <c r="D790">
        <v>62404.02</v>
      </c>
      <c r="E790">
        <v>0</v>
      </c>
      <c r="F790">
        <v>0</v>
      </c>
      <c r="G790">
        <v>0</v>
      </c>
    </row>
    <row r="791" spans="1:7" x14ac:dyDescent="0.2">
      <c r="A791" t="s">
        <v>241</v>
      </c>
      <c r="B791" t="s">
        <v>242</v>
      </c>
      <c r="C791">
        <v>127949.18</v>
      </c>
      <c r="D791">
        <v>107439.91</v>
      </c>
      <c r="E791">
        <v>0</v>
      </c>
      <c r="F791">
        <v>0</v>
      </c>
      <c r="G791">
        <v>20509.27</v>
      </c>
    </row>
    <row r="792" spans="1:7" x14ac:dyDescent="0.2">
      <c r="A792" t="s">
        <v>1553</v>
      </c>
      <c r="B792" t="s">
        <v>378</v>
      </c>
      <c r="C792">
        <v>59548.3</v>
      </c>
      <c r="D792">
        <v>59548.3</v>
      </c>
      <c r="E792">
        <v>0</v>
      </c>
      <c r="F792">
        <v>0</v>
      </c>
      <c r="G792">
        <v>0</v>
      </c>
    </row>
    <row r="793" spans="1:7" x14ac:dyDescent="0.2">
      <c r="A793" t="s">
        <v>38</v>
      </c>
      <c r="B793" t="s">
        <v>34</v>
      </c>
      <c r="C793">
        <v>220134.77</v>
      </c>
      <c r="D793">
        <v>112766.28</v>
      </c>
      <c r="E793">
        <v>27110.75</v>
      </c>
      <c r="F793">
        <v>67336</v>
      </c>
      <c r="G793">
        <v>12921.74</v>
      </c>
    </row>
    <row r="794" spans="1:7" x14ac:dyDescent="0.2">
      <c r="A794" t="s">
        <v>172</v>
      </c>
      <c r="B794" t="s">
        <v>65</v>
      </c>
      <c r="C794">
        <v>141702.66</v>
      </c>
      <c r="D794">
        <v>97549.29</v>
      </c>
      <c r="E794">
        <v>6250.46</v>
      </c>
      <c r="F794">
        <v>0</v>
      </c>
      <c r="G794">
        <v>37902.910000000003</v>
      </c>
    </row>
    <row r="795" spans="1:7" x14ac:dyDescent="0.2">
      <c r="A795" t="s">
        <v>1595</v>
      </c>
      <c r="B795" t="s">
        <v>378</v>
      </c>
      <c r="C795">
        <v>57962.93</v>
      </c>
      <c r="D795">
        <v>57962.93</v>
      </c>
      <c r="E795">
        <v>0</v>
      </c>
      <c r="F795">
        <v>0</v>
      </c>
      <c r="G795">
        <v>0</v>
      </c>
    </row>
    <row r="796" spans="1:7" x14ac:dyDescent="0.2">
      <c r="A796" t="s">
        <v>503</v>
      </c>
      <c r="B796" t="s">
        <v>283</v>
      </c>
      <c r="C796">
        <v>105936.91</v>
      </c>
      <c r="D796">
        <v>105028.17</v>
      </c>
      <c r="E796">
        <v>0</v>
      </c>
      <c r="F796">
        <v>0</v>
      </c>
      <c r="G796">
        <v>908.74</v>
      </c>
    </row>
    <row r="797" spans="1:7" x14ac:dyDescent="0.2">
      <c r="A797" t="s">
        <v>1466</v>
      </c>
      <c r="B797" t="s">
        <v>1467</v>
      </c>
      <c r="C797">
        <v>62854.9</v>
      </c>
      <c r="D797">
        <v>59655.14</v>
      </c>
      <c r="E797">
        <v>3199.76</v>
      </c>
      <c r="F797">
        <v>0</v>
      </c>
      <c r="G797">
        <v>0</v>
      </c>
    </row>
    <row r="798" spans="1:7" x14ac:dyDescent="0.2">
      <c r="A798" t="s">
        <v>1468</v>
      </c>
      <c r="B798" t="s">
        <v>1024</v>
      </c>
      <c r="C798">
        <v>62851.44</v>
      </c>
      <c r="D798">
        <v>54529.63</v>
      </c>
      <c r="E798">
        <v>0</v>
      </c>
      <c r="F798">
        <v>0</v>
      </c>
      <c r="G798">
        <v>8321.81</v>
      </c>
    </row>
    <row r="799" spans="1:7" x14ac:dyDescent="0.2">
      <c r="A799" t="s">
        <v>778</v>
      </c>
      <c r="B799" t="s">
        <v>378</v>
      </c>
      <c r="C799">
        <v>94778.17</v>
      </c>
      <c r="D799">
        <v>93478.17</v>
      </c>
      <c r="E799">
        <v>0</v>
      </c>
      <c r="F799">
        <v>0</v>
      </c>
      <c r="G799">
        <v>1300</v>
      </c>
    </row>
    <row r="800" spans="1:7" x14ac:dyDescent="0.2">
      <c r="A800" t="s">
        <v>595</v>
      </c>
      <c r="B800" t="s">
        <v>24</v>
      </c>
      <c r="C800">
        <v>102278.39999999999</v>
      </c>
      <c r="D800">
        <v>74591.649999999994</v>
      </c>
      <c r="E800">
        <v>4816.17</v>
      </c>
      <c r="F800">
        <v>13959</v>
      </c>
      <c r="G800">
        <v>8911.58</v>
      </c>
    </row>
    <row r="801" spans="1:7" x14ac:dyDescent="0.2">
      <c r="A801" t="s">
        <v>230</v>
      </c>
      <c r="B801" t="s">
        <v>24</v>
      </c>
      <c r="C801">
        <v>129673.04</v>
      </c>
      <c r="D801">
        <v>45508.24</v>
      </c>
      <c r="E801">
        <v>3305.88</v>
      </c>
      <c r="F801">
        <v>63623.25</v>
      </c>
      <c r="G801">
        <v>17235.669999999998</v>
      </c>
    </row>
    <row r="802" spans="1:7" x14ac:dyDescent="0.2">
      <c r="A802" t="s">
        <v>963</v>
      </c>
      <c r="B802" t="s">
        <v>130</v>
      </c>
      <c r="C802">
        <v>85168.27</v>
      </c>
      <c r="D802">
        <v>63851.23</v>
      </c>
      <c r="E802">
        <v>8412.5</v>
      </c>
      <c r="F802">
        <v>3613</v>
      </c>
      <c r="G802">
        <v>9291.5400000000009</v>
      </c>
    </row>
    <row r="803" spans="1:7" x14ac:dyDescent="0.2">
      <c r="A803" t="s">
        <v>1658</v>
      </c>
      <c r="B803" t="s">
        <v>1223</v>
      </c>
      <c r="C803">
        <v>54688.53</v>
      </c>
      <c r="D803">
        <v>52349.45</v>
      </c>
      <c r="E803">
        <v>0</v>
      </c>
      <c r="F803">
        <v>0</v>
      </c>
      <c r="G803">
        <v>2339.08</v>
      </c>
    </row>
    <row r="804" spans="1:7" x14ac:dyDescent="0.2">
      <c r="A804" t="s">
        <v>857</v>
      </c>
      <c r="B804" t="s">
        <v>404</v>
      </c>
      <c r="C804">
        <v>91658.32</v>
      </c>
      <c r="D804">
        <v>89364.32</v>
      </c>
      <c r="E804">
        <v>0</v>
      </c>
      <c r="F804">
        <v>0</v>
      </c>
      <c r="G804">
        <v>2294</v>
      </c>
    </row>
    <row r="805" spans="1:7" x14ac:dyDescent="0.2">
      <c r="A805" t="s">
        <v>1133</v>
      </c>
      <c r="B805" t="s">
        <v>1134</v>
      </c>
      <c r="C805">
        <v>76985.23</v>
      </c>
      <c r="D805">
        <v>51668.36</v>
      </c>
      <c r="E805">
        <v>11785.03</v>
      </c>
      <c r="F805">
        <v>0</v>
      </c>
      <c r="G805">
        <v>13531.84</v>
      </c>
    </row>
    <row r="806" spans="1:7" x14ac:dyDescent="0.2">
      <c r="A806" t="s">
        <v>1703</v>
      </c>
      <c r="B806" t="s">
        <v>1223</v>
      </c>
      <c r="C806">
        <v>52322.23</v>
      </c>
      <c r="D806">
        <v>42084.61</v>
      </c>
      <c r="E806">
        <v>1785.54</v>
      </c>
      <c r="F806">
        <v>0</v>
      </c>
      <c r="G806">
        <v>8452.08</v>
      </c>
    </row>
    <row r="807" spans="1:7" x14ac:dyDescent="0.2">
      <c r="A807" t="s">
        <v>442</v>
      </c>
      <c r="B807" t="s">
        <v>130</v>
      </c>
      <c r="C807">
        <v>109125.84</v>
      </c>
      <c r="D807">
        <v>76079.56</v>
      </c>
      <c r="E807">
        <v>4972.76</v>
      </c>
      <c r="F807">
        <v>0</v>
      </c>
      <c r="G807">
        <v>28073.52</v>
      </c>
    </row>
    <row r="808" spans="1:7" x14ac:dyDescent="0.2">
      <c r="A808" t="s">
        <v>715</v>
      </c>
      <c r="B808" t="s">
        <v>404</v>
      </c>
      <c r="C808">
        <v>97565.81</v>
      </c>
      <c r="D808">
        <v>83878.59</v>
      </c>
      <c r="E808">
        <v>0</v>
      </c>
      <c r="F808">
        <v>0</v>
      </c>
      <c r="G808">
        <v>13687.22</v>
      </c>
    </row>
    <row r="809" spans="1:7" x14ac:dyDescent="0.2">
      <c r="A809" t="s">
        <v>1098</v>
      </c>
      <c r="B809" t="s">
        <v>404</v>
      </c>
      <c r="C809">
        <v>78263.740000000005</v>
      </c>
      <c r="D809">
        <v>75837.119999999995</v>
      </c>
      <c r="E809">
        <v>0</v>
      </c>
      <c r="F809">
        <v>0</v>
      </c>
      <c r="G809">
        <v>2426.62</v>
      </c>
    </row>
    <row r="810" spans="1:7" x14ac:dyDescent="0.2">
      <c r="A810" t="s">
        <v>815</v>
      </c>
      <c r="B810" t="s">
        <v>816</v>
      </c>
      <c r="C810">
        <v>93290.15</v>
      </c>
      <c r="D810">
        <v>93190.15</v>
      </c>
      <c r="E810">
        <v>0</v>
      </c>
      <c r="F810">
        <v>0</v>
      </c>
      <c r="G810">
        <v>100</v>
      </c>
    </row>
    <row r="811" spans="1:7" x14ac:dyDescent="0.2">
      <c r="A811" t="s">
        <v>984</v>
      </c>
      <c r="B811" t="s">
        <v>985</v>
      </c>
      <c r="C811">
        <v>83545.63</v>
      </c>
      <c r="D811">
        <v>79545.67</v>
      </c>
      <c r="E811">
        <v>0</v>
      </c>
      <c r="F811">
        <v>0</v>
      </c>
      <c r="G811">
        <v>3999.96</v>
      </c>
    </row>
    <row r="812" spans="1:7" x14ac:dyDescent="0.2">
      <c r="A812" t="s">
        <v>1392</v>
      </c>
      <c r="B812" t="s">
        <v>378</v>
      </c>
      <c r="C812">
        <v>65812.899999999994</v>
      </c>
      <c r="D812">
        <v>65526.9</v>
      </c>
      <c r="E812">
        <v>0</v>
      </c>
      <c r="F812">
        <v>0</v>
      </c>
      <c r="G812">
        <v>286</v>
      </c>
    </row>
    <row r="813" spans="1:7" x14ac:dyDescent="0.2">
      <c r="A813" t="s">
        <v>295</v>
      </c>
      <c r="B813" t="s">
        <v>130</v>
      </c>
      <c r="C813">
        <v>121763.84</v>
      </c>
      <c r="D813">
        <v>83155.05</v>
      </c>
      <c r="E813">
        <v>4117.83</v>
      </c>
      <c r="F813">
        <v>1308</v>
      </c>
      <c r="G813">
        <v>33182.959999999999</v>
      </c>
    </row>
    <row r="814" spans="1:7" x14ac:dyDescent="0.2">
      <c r="A814" t="s">
        <v>91</v>
      </c>
      <c r="B814" t="s">
        <v>49</v>
      </c>
      <c r="C814">
        <v>175808.49</v>
      </c>
      <c r="D814">
        <v>110513.86</v>
      </c>
      <c r="E814">
        <v>21462.58</v>
      </c>
      <c r="F814">
        <v>0</v>
      </c>
      <c r="G814">
        <v>43832.05</v>
      </c>
    </row>
    <row r="815" spans="1:7" x14ac:dyDescent="0.2">
      <c r="A815" t="s">
        <v>74</v>
      </c>
      <c r="B815" t="s">
        <v>49</v>
      </c>
      <c r="C815">
        <v>185086</v>
      </c>
      <c r="D815">
        <v>109860.86</v>
      </c>
      <c r="E815">
        <v>31859.439999999999</v>
      </c>
      <c r="F815">
        <v>240</v>
      </c>
      <c r="G815">
        <v>43125.7</v>
      </c>
    </row>
    <row r="816" spans="1:7" x14ac:dyDescent="0.2">
      <c r="A816" t="s">
        <v>1059</v>
      </c>
      <c r="B816" t="s">
        <v>378</v>
      </c>
      <c r="C816">
        <v>79537.320000000007</v>
      </c>
      <c r="D816">
        <v>78664.41</v>
      </c>
      <c r="E816">
        <v>0</v>
      </c>
      <c r="F816">
        <v>0</v>
      </c>
      <c r="G816">
        <v>872.91</v>
      </c>
    </row>
    <row r="817" spans="1:7" x14ac:dyDescent="0.2">
      <c r="A817" t="s">
        <v>124</v>
      </c>
      <c r="B817" t="s">
        <v>125</v>
      </c>
      <c r="C817">
        <v>154923</v>
      </c>
      <c r="D817">
        <v>154563</v>
      </c>
      <c r="E817">
        <v>0</v>
      </c>
      <c r="F817">
        <v>0</v>
      </c>
      <c r="G817">
        <v>360</v>
      </c>
    </row>
    <row r="818" spans="1:7" x14ac:dyDescent="0.2">
      <c r="A818" t="s">
        <v>480</v>
      </c>
      <c r="B818" t="s">
        <v>378</v>
      </c>
      <c r="C818">
        <v>106977.52</v>
      </c>
      <c r="D818">
        <v>103927.86</v>
      </c>
      <c r="E818">
        <v>0</v>
      </c>
      <c r="F818">
        <v>0</v>
      </c>
      <c r="G818">
        <v>3049.66</v>
      </c>
    </row>
    <row r="819" spans="1:7" x14ac:dyDescent="0.2">
      <c r="A819" t="s">
        <v>1092</v>
      </c>
      <c r="B819" t="s">
        <v>1093</v>
      </c>
      <c r="C819">
        <v>78414.28</v>
      </c>
      <c r="D819">
        <v>71962.14</v>
      </c>
      <c r="E819">
        <v>2142.2399999999998</v>
      </c>
      <c r="F819">
        <v>0</v>
      </c>
      <c r="G819">
        <v>4309.8999999999996</v>
      </c>
    </row>
    <row r="820" spans="1:7" x14ac:dyDescent="0.2">
      <c r="A820" t="s">
        <v>962</v>
      </c>
      <c r="B820" t="s">
        <v>519</v>
      </c>
      <c r="C820">
        <v>85321.35</v>
      </c>
      <c r="D820">
        <v>54575.6</v>
      </c>
      <c r="E820">
        <v>18749.689999999999</v>
      </c>
      <c r="F820">
        <v>0</v>
      </c>
      <c r="G820">
        <v>11996.06</v>
      </c>
    </row>
    <row r="821" spans="1:7" x14ac:dyDescent="0.2">
      <c r="A821" t="s">
        <v>341</v>
      </c>
      <c r="B821" t="s">
        <v>130</v>
      </c>
      <c r="C821">
        <v>118554.59</v>
      </c>
      <c r="D821">
        <v>72852.160000000003</v>
      </c>
      <c r="E821">
        <v>12955.66</v>
      </c>
      <c r="F821">
        <v>11154.5</v>
      </c>
      <c r="G821">
        <v>21592.27</v>
      </c>
    </row>
    <row r="822" spans="1:7" x14ac:dyDescent="0.2">
      <c r="A822" t="s">
        <v>259</v>
      </c>
      <c r="B822" t="s">
        <v>34</v>
      </c>
      <c r="C822">
        <v>125355.68</v>
      </c>
      <c r="D822">
        <v>94422.49</v>
      </c>
      <c r="E822">
        <v>10612.51</v>
      </c>
      <c r="F822">
        <v>13044</v>
      </c>
      <c r="G822">
        <v>7276.68</v>
      </c>
    </row>
    <row r="823" spans="1:7" x14ac:dyDescent="0.2">
      <c r="A823" t="s">
        <v>566</v>
      </c>
      <c r="B823" t="s">
        <v>330</v>
      </c>
      <c r="C823">
        <v>103769.89</v>
      </c>
      <c r="D823">
        <v>101017.73</v>
      </c>
      <c r="E823">
        <v>0</v>
      </c>
      <c r="F823">
        <v>0</v>
      </c>
      <c r="G823">
        <v>2752.16</v>
      </c>
    </row>
    <row r="824" spans="1:7" x14ac:dyDescent="0.2">
      <c r="A824" t="s">
        <v>60</v>
      </c>
      <c r="B824" t="s">
        <v>56</v>
      </c>
      <c r="C824">
        <v>196733.45</v>
      </c>
      <c r="D824">
        <v>124448.97</v>
      </c>
      <c r="E824">
        <v>21638.93</v>
      </c>
      <c r="F824">
        <v>4773.5</v>
      </c>
      <c r="G824">
        <v>45872.05</v>
      </c>
    </row>
    <row r="825" spans="1:7" x14ac:dyDescent="0.2">
      <c r="A825" t="s">
        <v>669</v>
      </c>
      <c r="B825" t="s">
        <v>330</v>
      </c>
      <c r="C825">
        <v>99326</v>
      </c>
      <c r="D825">
        <v>94245</v>
      </c>
      <c r="E825">
        <v>0</v>
      </c>
      <c r="F825">
        <v>0</v>
      </c>
      <c r="G825">
        <v>5081</v>
      </c>
    </row>
    <row r="826" spans="1:7" x14ac:dyDescent="0.2">
      <c r="A826" t="s">
        <v>1149</v>
      </c>
      <c r="B826" t="s">
        <v>404</v>
      </c>
      <c r="C826">
        <v>76585.95</v>
      </c>
      <c r="D826">
        <v>74065.95</v>
      </c>
      <c r="E826">
        <v>0</v>
      </c>
      <c r="F826">
        <v>0</v>
      </c>
      <c r="G826">
        <v>2520</v>
      </c>
    </row>
    <row r="827" spans="1:7" x14ac:dyDescent="0.2">
      <c r="A827" t="s">
        <v>227</v>
      </c>
      <c r="B827" t="s">
        <v>24</v>
      </c>
      <c r="C827">
        <v>130673.04</v>
      </c>
      <c r="D827">
        <v>84638.8</v>
      </c>
      <c r="E827">
        <v>9622.44</v>
      </c>
      <c r="F827">
        <v>28327</v>
      </c>
      <c r="G827">
        <v>8084.8</v>
      </c>
    </row>
    <row r="828" spans="1:7" x14ac:dyDescent="0.2">
      <c r="A828" t="s">
        <v>1150</v>
      </c>
      <c r="B828" t="s">
        <v>1028</v>
      </c>
      <c r="C828">
        <v>76505.2</v>
      </c>
      <c r="D828">
        <v>49213.74</v>
      </c>
      <c r="E828">
        <v>21707.5</v>
      </c>
      <c r="F828">
        <v>891.5</v>
      </c>
      <c r="G828">
        <v>4692.46</v>
      </c>
    </row>
    <row r="829" spans="1:7" x14ac:dyDescent="0.2">
      <c r="A829" t="s">
        <v>957</v>
      </c>
      <c r="B829" t="s">
        <v>519</v>
      </c>
      <c r="C829">
        <v>85439.1</v>
      </c>
      <c r="D829">
        <v>54185.49</v>
      </c>
      <c r="E829">
        <v>19027.599999999999</v>
      </c>
      <c r="F829">
        <v>0</v>
      </c>
      <c r="G829">
        <v>12226.01</v>
      </c>
    </row>
    <row r="830" spans="1:7" x14ac:dyDescent="0.2">
      <c r="A830" t="s">
        <v>664</v>
      </c>
      <c r="B830" t="s">
        <v>404</v>
      </c>
      <c r="C830">
        <v>99668.94</v>
      </c>
      <c r="D830">
        <v>95944.94</v>
      </c>
      <c r="E830">
        <v>0</v>
      </c>
      <c r="F830">
        <v>0</v>
      </c>
      <c r="G830">
        <v>3724</v>
      </c>
    </row>
    <row r="831" spans="1:7" x14ac:dyDescent="0.2">
      <c r="A831" t="s">
        <v>494</v>
      </c>
      <c r="B831" t="s">
        <v>330</v>
      </c>
      <c r="C831">
        <v>106242.81</v>
      </c>
      <c r="D831">
        <v>104876.86</v>
      </c>
      <c r="E831">
        <v>0</v>
      </c>
      <c r="F831">
        <v>0</v>
      </c>
      <c r="G831">
        <v>1365.95</v>
      </c>
    </row>
    <row r="832" spans="1:7" x14ac:dyDescent="0.2">
      <c r="A832" t="s">
        <v>1143</v>
      </c>
      <c r="B832" t="s">
        <v>1120</v>
      </c>
      <c r="C832">
        <v>76717.460000000006</v>
      </c>
      <c r="D832">
        <v>60063.12</v>
      </c>
      <c r="E832">
        <v>10661.72</v>
      </c>
      <c r="F832">
        <v>575.94000000000005</v>
      </c>
      <c r="G832">
        <v>5416.68</v>
      </c>
    </row>
    <row r="833" spans="1:7" x14ac:dyDescent="0.2">
      <c r="A833" t="s">
        <v>332</v>
      </c>
      <c r="B833" t="s">
        <v>333</v>
      </c>
      <c r="C833">
        <v>119290.32</v>
      </c>
      <c r="D833">
        <v>58090.47</v>
      </c>
      <c r="E833">
        <v>46427.7</v>
      </c>
      <c r="F833">
        <v>0</v>
      </c>
      <c r="G833">
        <v>14772.15</v>
      </c>
    </row>
    <row r="834" spans="1:7" x14ac:dyDescent="0.2">
      <c r="A834" t="s">
        <v>1263</v>
      </c>
      <c r="B834" t="s">
        <v>648</v>
      </c>
      <c r="C834">
        <v>70614.3</v>
      </c>
      <c r="D834">
        <v>70614.3</v>
      </c>
      <c r="E834">
        <v>0</v>
      </c>
      <c r="F834">
        <v>0</v>
      </c>
      <c r="G834">
        <v>0</v>
      </c>
    </row>
    <row r="835" spans="1:7" x14ac:dyDescent="0.2">
      <c r="A835" t="s">
        <v>759</v>
      </c>
      <c r="B835" t="s">
        <v>404</v>
      </c>
      <c r="C835">
        <v>95548.51</v>
      </c>
      <c r="D835">
        <v>94194.51</v>
      </c>
      <c r="E835">
        <v>0</v>
      </c>
      <c r="F835">
        <v>0</v>
      </c>
      <c r="G835">
        <v>1354</v>
      </c>
    </row>
    <row r="836" spans="1:7" x14ac:dyDescent="0.2">
      <c r="A836" t="s">
        <v>422</v>
      </c>
      <c r="B836" t="s">
        <v>423</v>
      </c>
      <c r="C836">
        <v>110345.7</v>
      </c>
      <c r="D836">
        <v>110345.7</v>
      </c>
      <c r="E836">
        <v>0</v>
      </c>
      <c r="F836">
        <v>0</v>
      </c>
      <c r="G836">
        <v>0</v>
      </c>
    </row>
    <row r="837" spans="1:7" x14ac:dyDescent="0.2">
      <c r="A837" t="s">
        <v>1457</v>
      </c>
      <c r="B837" t="s">
        <v>378</v>
      </c>
      <c r="C837">
        <v>63322.32</v>
      </c>
      <c r="D837">
        <v>60382.32</v>
      </c>
      <c r="E837">
        <v>0</v>
      </c>
      <c r="F837">
        <v>0</v>
      </c>
      <c r="G837">
        <v>2940</v>
      </c>
    </row>
    <row r="838" spans="1:7" x14ac:dyDescent="0.2">
      <c r="A838" t="s">
        <v>1173</v>
      </c>
      <c r="B838" t="s">
        <v>378</v>
      </c>
      <c r="C838">
        <v>75840.3</v>
      </c>
      <c r="D838">
        <v>73966.14</v>
      </c>
      <c r="E838">
        <v>0</v>
      </c>
      <c r="F838">
        <v>0</v>
      </c>
      <c r="G838">
        <v>1874.16</v>
      </c>
    </row>
    <row r="839" spans="1:7" x14ac:dyDescent="0.2">
      <c r="A839" t="s">
        <v>704</v>
      </c>
      <c r="B839" t="s">
        <v>378</v>
      </c>
      <c r="C839">
        <v>98019.15</v>
      </c>
      <c r="D839">
        <v>96144.99</v>
      </c>
      <c r="E839">
        <v>0</v>
      </c>
      <c r="F839">
        <v>0</v>
      </c>
      <c r="G839">
        <v>1874.16</v>
      </c>
    </row>
    <row r="840" spans="1:7" x14ac:dyDescent="0.2">
      <c r="A840" t="s">
        <v>348</v>
      </c>
      <c r="B840" t="s">
        <v>24</v>
      </c>
      <c r="C840">
        <v>117644.63</v>
      </c>
      <c r="D840">
        <v>84502.75</v>
      </c>
      <c r="E840">
        <v>14876.38</v>
      </c>
      <c r="F840">
        <v>8626</v>
      </c>
      <c r="G840">
        <v>9639.5</v>
      </c>
    </row>
    <row r="841" spans="1:7" x14ac:dyDescent="0.2">
      <c r="A841" t="s">
        <v>388</v>
      </c>
      <c r="B841" t="s">
        <v>130</v>
      </c>
      <c r="C841">
        <v>112222.05</v>
      </c>
      <c r="D841">
        <v>79368.84</v>
      </c>
      <c r="E841">
        <v>3661.88</v>
      </c>
      <c r="F841">
        <v>0</v>
      </c>
      <c r="G841">
        <v>29191.33</v>
      </c>
    </row>
    <row r="842" spans="1:7" x14ac:dyDescent="0.2">
      <c r="A842" t="s">
        <v>1422</v>
      </c>
      <c r="B842" t="s">
        <v>380</v>
      </c>
      <c r="C842">
        <v>64780.63</v>
      </c>
      <c r="D842">
        <v>57347.49</v>
      </c>
      <c r="E842">
        <v>595.37</v>
      </c>
      <c r="F842">
        <v>0</v>
      </c>
      <c r="G842">
        <v>6837.77</v>
      </c>
    </row>
    <row r="843" spans="1:7" x14ac:dyDescent="0.2">
      <c r="A843" t="s">
        <v>255</v>
      </c>
      <c r="B843" t="s">
        <v>65</v>
      </c>
      <c r="C843">
        <v>126086.77</v>
      </c>
      <c r="D843">
        <v>90616.81</v>
      </c>
      <c r="E843">
        <v>4730.5600000000004</v>
      </c>
      <c r="F843">
        <v>0</v>
      </c>
      <c r="G843">
        <v>30739.4</v>
      </c>
    </row>
    <row r="844" spans="1:7" x14ac:dyDescent="0.2">
      <c r="A844" t="s">
        <v>455</v>
      </c>
      <c r="B844" t="s">
        <v>456</v>
      </c>
      <c r="C844">
        <v>108381.83</v>
      </c>
      <c r="D844">
        <v>108181.83</v>
      </c>
      <c r="E844">
        <v>0</v>
      </c>
      <c r="F844">
        <v>0</v>
      </c>
      <c r="G844">
        <v>200</v>
      </c>
    </row>
    <row r="845" spans="1:7" x14ac:dyDescent="0.2">
      <c r="A845" t="s">
        <v>882</v>
      </c>
      <c r="B845" t="s">
        <v>162</v>
      </c>
      <c r="C845">
        <v>90132.7</v>
      </c>
      <c r="D845">
        <v>60055.040000000001</v>
      </c>
      <c r="E845">
        <v>16325.37</v>
      </c>
      <c r="F845">
        <v>0</v>
      </c>
      <c r="G845">
        <v>13752.29</v>
      </c>
    </row>
    <row r="846" spans="1:7" x14ac:dyDescent="0.2">
      <c r="A846" t="s">
        <v>1717</v>
      </c>
      <c r="B846" t="s">
        <v>130</v>
      </c>
      <c r="C846">
        <v>51601.4</v>
      </c>
      <c r="D846">
        <v>45429.15</v>
      </c>
      <c r="E846">
        <v>0</v>
      </c>
      <c r="F846">
        <v>0</v>
      </c>
      <c r="G846">
        <v>6172.25</v>
      </c>
    </row>
    <row r="847" spans="1:7" x14ac:dyDescent="0.2">
      <c r="A847" t="s">
        <v>431</v>
      </c>
      <c r="B847" t="s">
        <v>330</v>
      </c>
      <c r="C847">
        <v>109563.38</v>
      </c>
      <c r="D847">
        <v>107533.8</v>
      </c>
      <c r="E847">
        <v>0</v>
      </c>
      <c r="F847">
        <v>0</v>
      </c>
      <c r="G847">
        <v>2029.58</v>
      </c>
    </row>
    <row r="848" spans="1:7" x14ac:dyDescent="0.2">
      <c r="A848" t="s">
        <v>1017</v>
      </c>
      <c r="B848" t="s">
        <v>24</v>
      </c>
      <c r="C848">
        <v>81695.09</v>
      </c>
      <c r="D848">
        <v>68911.850000000006</v>
      </c>
      <c r="E848">
        <v>5193.84</v>
      </c>
      <c r="F848">
        <v>2154</v>
      </c>
      <c r="G848">
        <v>5435.4</v>
      </c>
    </row>
    <row r="849" spans="1:7" x14ac:dyDescent="0.2">
      <c r="A849" t="s">
        <v>804</v>
      </c>
      <c r="B849" t="s">
        <v>330</v>
      </c>
      <c r="C849">
        <v>93817.1</v>
      </c>
      <c r="D849">
        <v>88985.44</v>
      </c>
      <c r="E849">
        <v>0</v>
      </c>
      <c r="F849">
        <v>0</v>
      </c>
      <c r="G849">
        <v>4831.66</v>
      </c>
    </row>
    <row r="850" spans="1:7" x14ac:dyDescent="0.2">
      <c r="A850" t="s">
        <v>1282</v>
      </c>
      <c r="B850" t="s">
        <v>378</v>
      </c>
      <c r="C850">
        <v>69727.360000000001</v>
      </c>
      <c r="D850">
        <v>68895.360000000001</v>
      </c>
      <c r="E850">
        <v>0</v>
      </c>
      <c r="F850">
        <v>0</v>
      </c>
      <c r="G850">
        <v>832</v>
      </c>
    </row>
    <row r="851" spans="1:7" x14ac:dyDescent="0.2">
      <c r="A851" t="s">
        <v>1441</v>
      </c>
      <c r="B851" t="s">
        <v>378</v>
      </c>
      <c r="C851">
        <v>64017.23</v>
      </c>
      <c r="D851">
        <v>63392.51</v>
      </c>
      <c r="E851">
        <v>0</v>
      </c>
      <c r="F851">
        <v>0</v>
      </c>
      <c r="G851">
        <v>624.72</v>
      </c>
    </row>
    <row r="852" spans="1:7" x14ac:dyDescent="0.2">
      <c r="A852" t="s">
        <v>961</v>
      </c>
      <c r="B852" t="s">
        <v>380</v>
      </c>
      <c r="C852">
        <v>85360.34</v>
      </c>
      <c r="D852">
        <v>57979.77</v>
      </c>
      <c r="E852">
        <v>20646.43</v>
      </c>
      <c r="F852">
        <v>0</v>
      </c>
      <c r="G852">
        <v>6734.14</v>
      </c>
    </row>
    <row r="853" spans="1:7" x14ac:dyDescent="0.2">
      <c r="A853" t="s">
        <v>322</v>
      </c>
      <c r="B853" t="s">
        <v>130</v>
      </c>
      <c r="C853">
        <v>120291.89</v>
      </c>
      <c r="D853">
        <v>79849</v>
      </c>
      <c r="E853">
        <v>8320.2099999999991</v>
      </c>
      <c r="F853">
        <v>654</v>
      </c>
      <c r="G853">
        <v>31468.68</v>
      </c>
    </row>
    <row r="854" spans="1:7" x14ac:dyDescent="0.2">
      <c r="A854" t="s">
        <v>1474</v>
      </c>
      <c r="B854" t="s">
        <v>1357</v>
      </c>
      <c r="C854">
        <v>62472.160000000003</v>
      </c>
      <c r="D854">
        <v>50576.25</v>
      </c>
      <c r="E854">
        <v>1777.91</v>
      </c>
      <c r="F854">
        <v>0</v>
      </c>
      <c r="G854">
        <v>10118</v>
      </c>
    </row>
    <row r="855" spans="1:7" x14ac:dyDescent="0.2">
      <c r="A855" t="s">
        <v>1127</v>
      </c>
      <c r="B855" t="s">
        <v>1128</v>
      </c>
      <c r="C855">
        <v>77194.320000000007</v>
      </c>
      <c r="D855">
        <v>41704.32</v>
      </c>
      <c r="E855">
        <v>0</v>
      </c>
      <c r="F855">
        <v>0</v>
      </c>
      <c r="G855">
        <v>35490</v>
      </c>
    </row>
    <row r="856" spans="1:7" x14ac:dyDescent="0.2">
      <c r="A856" t="s">
        <v>838</v>
      </c>
      <c r="B856" t="s">
        <v>433</v>
      </c>
      <c r="C856">
        <v>92557.3</v>
      </c>
      <c r="D856">
        <v>90092.58</v>
      </c>
      <c r="E856">
        <v>0</v>
      </c>
      <c r="F856">
        <v>0</v>
      </c>
      <c r="G856">
        <v>2464.7199999999998</v>
      </c>
    </row>
    <row r="857" spans="1:7" x14ac:dyDescent="0.2">
      <c r="A857" t="s">
        <v>165</v>
      </c>
      <c r="B857" t="s">
        <v>166</v>
      </c>
      <c r="C857">
        <v>143458.89000000001</v>
      </c>
      <c r="D857">
        <v>120496.59</v>
      </c>
      <c r="E857">
        <v>0</v>
      </c>
      <c r="F857">
        <v>0</v>
      </c>
      <c r="G857">
        <v>22962.3</v>
      </c>
    </row>
    <row r="858" spans="1:7" x14ac:dyDescent="0.2">
      <c r="A858" t="s">
        <v>1187</v>
      </c>
      <c r="B858" t="s">
        <v>1044</v>
      </c>
      <c r="C858">
        <v>75062.39</v>
      </c>
      <c r="D858">
        <v>70332.86</v>
      </c>
      <c r="E858">
        <v>0</v>
      </c>
      <c r="F858">
        <v>0</v>
      </c>
      <c r="G858">
        <v>4729.53</v>
      </c>
    </row>
    <row r="859" spans="1:7" x14ac:dyDescent="0.2">
      <c r="A859" t="s">
        <v>1514</v>
      </c>
      <c r="B859" t="s">
        <v>1134</v>
      </c>
      <c r="C859">
        <v>61233.02</v>
      </c>
      <c r="D859">
        <v>50261.67</v>
      </c>
      <c r="E859">
        <v>1741.97</v>
      </c>
      <c r="F859">
        <v>0</v>
      </c>
      <c r="G859">
        <v>9229.3799999999992</v>
      </c>
    </row>
    <row r="860" spans="1:7" x14ac:dyDescent="0.2">
      <c r="A860" t="s">
        <v>988</v>
      </c>
      <c r="B860" t="s">
        <v>989</v>
      </c>
      <c r="C860">
        <v>82964.87</v>
      </c>
      <c r="D860">
        <v>81962.89</v>
      </c>
      <c r="E860">
        <v>0</v>
      </c>
      <c r="F860">
        <v>0</v>
      </c>
      <c r="G860">
        <v>1001.98</v>
      </c>
    </row>
    <row r="861" spans="1:7" x14ac:dyDescent="0.2">
      <c r="A861" t="s">
        <v>969</v>
      </c>
      <c r="B861" t="s">
        <v>448</v>
      </c>
      <c r="C861">
        <v>84732.01</v>
      </c>
      <c r="D861">
        <v>80530.009999999995</v>
      </c>
      <c r="E861">
        <v>0</v>
      </c>
      <c r="F861">
        <v>0</v>
      </c>
      <c r="G861">
        <v>4202</v>
      </c>
    </row>
    <row r="862" spans="1:7" x14ac:dyDescent="0.2">
      <c r="A862" t="s">
        <v>474</v>
      </c>
      <c r="B862" t="s">
        <v>378</v>
      </c>
      <c r="C862">
        <v>107179.6</v>
      </c>
      <c r="D862">
        <v>101864.75</v>
      </c>
      <c r="E862">
        <v>0</v>
      </c>
      <c r="F862">
        <v>0</v>
      </c>
      <c r="G862">
        <v>5314.85</v>
      </c>
    </row>
    <row r="863" spans="1:7" x14ac:dyDescent="0.2">
      <c r="A863" t="s">
        <v>1495</v>
      </c>
      <c r="B863" t="s">
        <v>1496</v>
      </c>
      <c r="C863">
        <v>61788.34</v>
      </c>
      <c r="D863">
        <v>61788.34</v>
      </c>
      <c r="E863">
        <v>0</v>
      </c>
      <c r="F863">
        <v>0</v>
      </c>
      <c r="G863">
        <v>0</v>
      </c>
    </row>
    <row r="864" spans="1:7" x14ac:dyDescent="0.2">
      <c r="A864" t="s">
        <v>1038</v>
      </c>
      <c r="B864" t="s">
        <v>1039</v>
      </c>
      <c r="C864">
        <v>80484.2</v>
      </c>
      <c r="D864">
        <v>78780.460000000006</v>
      </c>
      <c r="E864">
        <v>0</v>
      </c>
      <c r="F864">
        <v>0</v>
      </c>
      <c r="G864">
        <v>1703.74</v>
      </c>
    </row>
    <row r="865" spans="1:7" x14ac:dyDescent="0.2">
      <c r="A865" t="s">
        <v>1377</v>
      </c>
      <c r="B865" t="s">
        <v>1378</v>
      </c>
      <c r="C865">
        <v>66282.080000000002</v>
      </c>
      <c r="D865">
        <v>44416.09</v>
      </c>
      <c r="E865">
        <v>14456.07</v>
      </c>
      <c r="F865">
        <v>0</v>
      </c>
      <c r="G865">
        <v>7409.92</v>
      </c>
    </row>
    <row r="866" spans="1:7" x14ac:dyDescent="0.2">
      <c r="A866" t="s">
        <v>824</v>
      </c>
      <c r="B866" t="s">
        <v>404</v>
      </c>
      <c r="C866">
        <v>93043.31</v>
      </c>
      <c r="D866">
        <v>88967.31</v>
      </c>
      <c r="E866">
        <v>0</v>
      </c>
      <c r="F866">
        <v>0</v>
      </c>
      <c r="G866">
        <v>4076</v>
      </c>
    </row>
    <row r="867" spans="1:7" x14ac:dyDescent="0.2">
      <c r="A867" t="s">
        <v>134</v>
      </c>
      <c r="B867" t="s">
        <v>24</v>
      </c>
      <c r="C867">
        <v>151670.34</v>
      </c>
      <c r="D867">
        <v>78327.61</v>
      </c>
      <c r="E867">
        <v>41397.11</v>
      </c>
      <c r="F867">
        <v>25795</v>
      </c>
      <c r="G867">
        <v>6150.62</v>
      </c>
    </row>
    <row r="868" spans="1:7" x14ac:dyDescent="0.2">
      <c r="A868" t="s">
        <v>717</v>
      </c>
      <c r="B868" t="s">
        <v>330</v>
      </c>
      <c r="C868">
        <v>97517.64</v>
      </c>
      <c r="D868">
        <v>97517.64</v>
      </c>
      <c r="E868">
        <v>0</v>
      </c>
      <c r="F868">
        <v>0</v>
      </c>
      <c r="G868">
        <v>0</v>
      </c>
    </row>
    <row r="869" spans="1:7" x14ac:dyDescent="0.2">
      <c r="A869" t="s">
        <v>655</v>
      </c>
      <c r="B869" t="s">
        <v>433</v>
      </c>
      <c r="C869">
        <v>99998.52</v>
      </c>
      <c r="D869">
        <v>98623.32</v>
      </c>
      <c r="E869">
        <v>0</v>
      </c>
      <c r="F869">
        <v>0</v>
      </c>
      <c r="G869">
        <v>1375.2</v>
      </c>
    </row>
    <row r="870" spans="1:7" x14ac:dyDescent="0.2">
      <c r="A870" t="s">
        <v>829</v>
      </c>
      <c r="B870" t="s">
        <v>830</v>
      </c>
      <c r="C870">
        <v>92713.89</v>
      </c>
      <c r="D870">
        <v>91128.75</v>
      </c>
      <c r="E870">
        <v>0</v>
      </c>
      <c r="F870">
        <v>0</v>
      </c>
      <c r="G870">
        <v>1585.14</v>
      </c>
    </row>
    <row r="871" spans="1:7" x14ac:dyDescent="0.2">
      <c r="A871" t="s">
        <v>1053</v>
      </c>
      <c r="B871" t="s">
        <v>448</v>
      </c>
      <c r="C871">
        <v>79910.33</v>
      </c>
      <c r="D871">
        <v>74764.800000000003</v>
      </c>
      <c r="E871">
        <v>0</v>
      </c>
      <c r="F871">
        <v>0</v>
      </c>
      <c r="G871">
        <v>5145.53</v>
      </c>
    </row>
    <row r="872" spans="1:7" x14ac:dyDescent="0.2">
      <c r="A872" t="s">
        <v>1403</v>
      </c>
      <c r="B872" t="s">
        <v>1404</v>
      </c>
      <c r="C872">
        <v>65417.2</v>
      </c>
      <c r="D872">
        <v>62845</v>
      </c>
      <c r="E872">
        <v>0</v>
      </c>
      <c r="F872">
        <v>0</v>
      </c>
      <c r="G872">
        <v>2572.1999999999998</v>
      </c>
    </row>
    <row r="873" spans="1:7" x14ac:dyDescent="0.2">
      <c r="A873" t="s">
        <v>1435</v>
      </c>
      <c r="B873" t="s">
        <v>1000</v>
      </c>
      <c r="C873">
        <v>64254.92</v>
      </c>
      <c r="D873">
        <v>55976.57</v>
      </c>
      <c r="E873">
        <v>1620.94</v>
      </c>
      <c r="F873">
        <v>0</v>
      </c>
      <c r="G873">
        <v>6657.41</v>
      </c>
    </row>
    <row r="874" spans="1:7" x14ac:dyDescent="0.2">
      <c r="A874" t="s">
        <v>771</v>
      </c>
      <c r="B874" t="s">
        <v>378</v>
      </c>
      <c r="C874">
        <v>95113.56</v>
      </c>
      <c r="D874">
        <v>93411.66</v>
      </c>
      <c r="E874">
        <v>0</v>
      </c>
      <c r="F874">
        <v>0</v>
      </c>
      <c r="G874">
        <v>1701.9</v>
      </c>
    </row>
    <row r="875" spans="1:7" x14ac:dyDescent="0.2">
      <c r="A875" t="s">
        <v>1190</v>
      </c>
      <c r="B875" t="s">
        <v>904</v>
      </c>
      <c r="C875">
        <v>74666.460000000006</v>
      </c>
      <c r="D875">
        <v>49510.29</v>
      </c>
      <c r="E875">
        <v>13686.01</v>
      </c>
      <c r="F875">
        <v>0</v>
      </c>
      <c r="G875">
        <v>11470.16</v>
      </c>
    </row>
    <row r="876" spans="1:7" x14ac:dyDescent="0.2">
      <c r="A876" t="s">
        <v>1156</v>
      </c>
      <c r="B876" t="s">
        <v>1157</v>
      </c>
      <c r="C876">
        <v>76456.899999999994</v>
      </c>
      <c r="D876">
        <v>76456.899999999994</v>
      </c>
      <c r="E876">
        <v>0</v>
      </c>
      <c r="F876">
        <v>0</v>
      </c>
      <c r="G876">
        <v>0</v>
      </c>
    </row>
    <row r="877" spans="1:7" x14ac:dyDescent="0.2">
      <c r="A877" t="s">
        <v>714</v>
      </c>
      <c r="B877" t="s">
        <v>330</v>
      </c>
      <c r="C877">
        <v>97567.44</v>
      </c>
      <c r="D877">
        <v>97251.34</v>
      </c>
      <c r="E877">
        <v>0</v>
      </c>
      <c r="F877">
        <v>0</v>
      </c>
      <c r="G877">
        <v>316.10000000000002</v>
      </c>
    </row>
    <row r="878" spans="1:7" x14ac:dyDescent="0.2">
      <c r="A878" t="s">
        <v>1182</v>
      </c>
      <c r="B878" t="s">
        <v>1183</v>
      </c>
      <c r="C878">
        <v>75261.240000000005</v>
      </c>
      <c r="D878">
        <v>69191.23</v>
      </c>
      <c r="E878">
        <v>4366.2700000000004</v>
      </c>
      <c r="F878">
        <v>0</v>
      </c>
      <c r="G878">
        <v>1703.74</v>
      </c>
    </row>
    <row r="879" spans="1:7" x14ac:dyDescent="0.2">
      <c r="A879" t="s">
        <v>1051</v>
      </c>
      <c r="B879" t="s">
        <v>1052</v>
      </c>
      <c r="C879">
        <v>79911.850000000006</v>
      </c>
      <c r="D879">
        <v>49246.3</v>
      </c>
      <c r="E879">
        <v>21295.17</v>
      </c>
      <c r="F879">
        <v>0</v>
      </c>
      <c r="G879">
        <v>9370.3799999999992</v>
      </c>
    </row>
    <row r="880" spans="1:7" x14ac:dyDescent="0.2">
      <c r="A880" t="s">
        <v>93</v>
      </c>
      <c r="B880" t="s">
        <v>32</v>
      </c>
      <c r="C880">
        <v>174788.39</v>
      </c>
      <c r="D880">
        <v>143160.26999999999</v>
      </c>
      <c r="E880">
        <v>13005.21</v>
      </c>
      <c r="F880">
        <v>3965</v>
      </c>
      <c r="G880">
        <v>14657.91</v>
      </c>
    </row>
    <row r="881" spans="1:7" x14ac:dyDescent="0.2">
      <c r="A881" t="s">
        <v>1522</v>
      </c>
      <c r="B881" t="s">
        <v>380</v>
      </c>
      <c r="C881">
        <v>60892.02</v>
      </c>
      <c r="D881">
        <v>52205.38</v>
      </c>
      <c r="E881">
        <v>3584.7</v>
      </c>
      <c r="F881">
        <v>0</v>
      </c>
      <c r="G881">
        <v>5101.9399999999996</v>
      </c>
    </row>
    <row r="882" spans="1:7" x14ac:dyDescent="0.2">
      <c r="A882" t="s">
        <v>113</v>
      </c>
      <c r="B882" t="s">
        <v>24</v>
      </c>
      <c r="C882">
        <v>160079.91</v>
      </c>
      <c r="D882">
        <v>78375.649999999994</v>
      </c>
      <c r="E882">
        <v>34741.15</v>
      </c>
      <c r="F882">
        <v>38408.75</v>
      </c>
      <c r="G882">
        <v>8554.36</v>
      </c>
    </row>
    <row r="883" spans="1:7" x14ac:dyDescent="0.2">
      <c r="A883" t="s">
        <v>368</v>
      </c>
      <c r="B883" t="s">
        <v>285</v>
      </c>
      <c r="C883">
        <v>114735.23</v>
      </c>
      <c r="D883">
        <v>114735.23</v>
      </c>
      <c r="E883">
        <v>0</v>
      </c>
      <c r="F883">
        <v>0</v>
      </c>
      <c r="G883">
        <v>0</v>
      </c>
    </row>
    <row r="884" spans="1:7" x14ac:dyDescent="0.2">
      <c r="A884" t="s">
        <v>286</v>
      </c>
      <c r="B884" t="s">
        <v>34</v>
      </c>
      <c r="C884">
        <v>122441.35</v>
      </c>
      <c r="D884">
        <v>107157.48</v>
      </c>
      <c r="E884">
        <v>156.26</v>
      </c>
      <c r="F884">
        <v>0</v>
      </c>
      <c r="G884">
        <v>15127.61</v>
      </c>
    </row>
    <row r="885" spans="1:7" x14ac:dyDescent="0.2">
      <c r="A885" t="s">
        <v>1704</v>
      </c>
      <c r="B885" t="s">
        <v>330</v>
      </c>
      <c r="C885">
        <v>52302.239999999998</v>
      </c>
      <c r="D885">
        <v>52302.239999999998</v>
      </c>
      <c r="E885">
        <v>0</v>
      </c>
      <c r="F885">
        <v>0</v>
      </c>
      <c r="G885">
        <v>0</v>
      </c>
    </row>
    <row r="886" spans="1:7" x14ac:dyDescent="0.2">
      <c r="A886" t="s">
        <v>412</v>
      </c>
      <c r="B886" t="s">
        <v>24</v>
      </c>
      <c r="C886">
        <v>110770.66</v>
      </c>
      <c r="D886">
        <v>80966.8</v>
      </c>
      <c r="E886">
        <v>5844.3</v>
      </c>
      <c r="F886">
        <v>14514.25</v>
      </c>
      <c r="G886">
        <v>9445.31</v>
      </c>
    </row>
    <row r="887" spans="1:7" x14ac:dyDescent="0.2">
      <c r="A887" t="s">
        <v>915</v>
      </c>
      <c r="B887" t="s">
        <v>916</v>
      </c>
      <c r="C887">
        <v>88276.58</v>
      </c>
      <c r="D887">
        <v>88276.58</v>
      </c>
      <c r="E887">
        <v>0</v>
      </c>
      <c r="F887">
        <v>0</v>
      </c>
      <c r="G887">
        <v>0</v>
      </c>
    </row>
    <row r="888" spans="1:7" x14ac:dyDescent="0.2">
      <c r="A888" t="s">
        <v>413</v>
      </c>
      <c r="B888" t="s">
        <v>414</v>
      </c>
      <c r="C888">
        <v>110644.61</v>
      </c>
      <c r="D888">
        <v>60074.98</v>
      </c>
      <c r="E888">
        <v>39687.93</v>
      </c>
      <c r="F888">
        <v>7654.93</v>
      </c>
      <c r="G888">
        <v>3226.77</v>
      </c>
    </row>
    <row r="889" spans="1:7" x14ac:dyDescent="0.2">
      <c r="A889" t="s">
        <v>281</v>
      </c>
      <c r="B889" t="s">
        <v>130</v>
      </c>
      <c r="C889">
        <v>122686.78</v>
      </c>
      <c r="D889">
        <v>82641.429999999993</v>
      </c>
      <c r="E889">
        <v>8269.24</v>
      </c>
      <c r="F889">
        <v>0</v>
      </c>
      <c r="G889">
        <v>31776.11</v>
      </c>
    </row>
    <row r="890" spans="1:7" x14ac:dyDescent="0.2">
      <c r="A890" t="s">
        <v>1332</v>
      </c>
      <c r="B890" t="s">
        <v>1333</v>
      </c>
      <c r="C890">
        <v>67692.460000000006</v>
      </c>
      <c r="D890">
        <v>66262.5</v>
      </c>
      <c r="E890">
        <v>0.26</v>
      </c>
      <c r="F890">
        <v>0</v>
      </c>
      <c r="G890">
        <v>1429.7</v>
      </c>
    </row>
    <row r="891" spans="1:7" x14ac:dyDescent="0.2">
      <c r="A891" t="s">
        <v>1005</v>
      </c>
      <c r="B891" t="s">
        <v>1006</v>
      </c>
      <c r="C891">
        <v>82384.7</v>
      </c>
      <c r="D891">
        <v>82384.7</v>
      </c>
      <c r="E891">
        <v>0</v>
      </c>
      <c r="F891">
        <v>0</v>
      </c>
      <c r="G891">
        <v>0</v>
      </c>
    </row>
    <row r="892" spans="1:7" x14ac:dyDescent="0.2">
      <c r="A892" t="s">
        <v>883</v>
      </c>
      <c r="B892" t="s">
        <v>519</v>
      </c>
      <c r="C892">
        <v>90076.22</v>
      </c>
      <c r="D892">
        <v>50424.06</v>
      </c>
      <c r="E892">
        <v>29459.7</v>
      </c>
      <c r="F892">
        <v>0</v>
      </c>
      <c r="G892">
        <v>10192.459999999999</v>
      </c>
    </row>
    <row r="893" spans="1:7" x14ac:dyDescent="0.2">
      <c r="A893" t="s">
        <v>1368</v>
      </c>
      <c r="B893" t="s">
        <v>106</v>
      </c>
      <c r="C893">
        <v>66499.94</v>
      </c>
      <c r="D893">
        <v>66499.94</v>
      </c>
      <c r="E893">
        <v>0</v>
      </c>
      <c r="F893">
        <v>0</v>
      </c>
      <c r="G893">
        <v>0</v>
      </c>
    </row>
    <row r="894" spans="1:7" x14ac:dyDescent="0.2">
      <c r="A894" t="s">
        <v>733</v>
      </c>
      <c r="B894" t="s">
        <v>448</v>
      </c>
      <c r="C894">
        <v>96651.39</v>
      </c>
      <c r="D894">
        <v>95822.39</v>
      </c>
      <c r="E894">
        <v>0</v>
      </c>
      <c r="F894">
        <v>0</v>
      </c>
      <c r="G894">
        <v>829</v>
      </c>
    </row>
    <row r="895" spans="1:7" x14ac:dyDescent="0.2">
      <c r="A895" t="s">
        <v>116</v>
      </c>
      <c r="B895" t="s">
        <v>24</v>
      </c>
      <c r="C895">
        <v>156976.95999999999</v>
      </c>
      <c r="D895">
        <v>72641.67</v>
      </c>
      <c r="E895">
        <v>9937.31</v>
      </c>
      <c r="F895">
        <v>68806.5</v>
      </c>
      <c r="G895">
        <v>5591.48</v>
      </c>
    </row>
    <row r="896" spans="1:7" x14ac:dyDescent="0.2">
      <c r="A896" t="s">
        <v>154</v>
      </c>
      <c r="B896" t="s">
        <v>24</v>
      </c>
      <c r="C896">
        <v>144945.95000000001</v>
      </c>
      <c r="D896">
        <v>61170.27</v>
      </c>
      <c r="E896">
        <v>5101.92</v>
      </c>
      <c r="F896">
        <v>73822</v>
      </c>
      <c r="G896">
        <v>4851.76</v>
      </c>
    </row>
    <row r="897" spans="1:7" x14ac:dyDescent="0.2">
      <c r="A897" t="s">
        <v>260</v>
      </c>
      <c r="B897" t="s">
        <v>130</v>
      </c>
      <c r="C897">
        <v>125243.7</v>
      </c>
      <c r="D897">
        <v>86085.86</v>
      </c>
      <c r="E897">
        <v>5897.34</v>
      </c>
      <c r="F897">
        <v>642</v>
      </c>
      <c r="G897">
        <v>32618.5</v>
      </c>
    </row>
    <row r="898" spans="1:7" x14ac:dyDescent="0.2">
      <c r="A898" t="s">
        <v>767</v>
      </c>
      <c r="B898" t="s">
        <v>24</v>
      </c>
      <c r="C898">
        <v>95322.08</v>
      </c>
      <c r="D898">
        <v>57554.91</v>
      </c>
      <c r="E898">
        <v>3021.7</v>
      </c>
      <c r="F898">
        <v>31020</v>
      </c>
      <c r="G898">
        <v>3725.47</v>
      </c>
    </row>
    <row r="899" spans="1:7" x14ac:dyDescent="0.2">
      <c r="A899" t="s">
        <v>1180</v>
      </c>
      <c r="B899" t="s">
        <v>378</v>
      </c>
      <c r="C899">
        <v>75344.13</v>
      </c>
      <c r="D899">
        <v>75344.13</v>
      </c>
      <c r="E899">
        <v>0</v>
      </c>
      <c r="F899">
        <v>0</v>
      </c>
      <c r="G899">
        <v>0</v>
      </c>
    </row>
    <row r="900" spans="1:7" x14ac:dyDescent="0.2">
      <c r="A900" t="s">
        <v>1076</v>
      </c>
      <c r="B900" t="s">
        <v>433</v>
      </c>
      <c r="C900">
        <v>79149.820000000007</v>
      </c>
      <c r="D900">
        <v>74714.77</v>
      </c>
      <c r="E900">
        <v>0</v>
      </c>
      <c r="F900">
        <v>0</v>
      </c>
      <c r="G900">
        <v>4435.05</v>
      </c>
    </row>
    <row r="901" spans="1:7" x14ac:dyDescent="0.2">
      <c r="A901" t="s">
        <v>758</v>
      </c>
      <c r="B901" t="s">
        <v>378</v>
      </c>
      <c r="C901">
        <v>95573.49</v>
      </c>
      <c r="D901">
        <v>94909.29</v>
      </c>
      <c r="E901">
        <v>0</v>
      </c>
      <c r="F901">
        <v>0</v>
      </c>
      <c r="G901">
        <v>664.2</v>
      </c>
    </row>
    <row r="902" spans="1:7" x14ac:dyDescent="0.2">
      <c r="A902" t="s">
        <v>585</v>
      </c>
      <c r="B902" t="s">
        <v>404</v>
      </c>
      <c r="C902">
        <v>102796.48</v>
      </c>
      <c r="D902">
        <v>95826.36</v>
      </c>
      <c r="E902">
        <v>0</v>
      </c>
      <c r="F902">
        <v>0</v>
      </c>
      <c r="G902">
        <v>6970.12</v>
      </c>
    </row>
    <row r="903" spans="1:7" x14ac:dyDescent="0.2">
      <c r="A903" t="s">
        <v>666</v>
      </c>
      <c r="B903" t="s">
        <v>519</v>
      </c>
      <c r="C903">
        <v>99513.76</v>
      </c>
      <c r="D903">
        <v>54185.43</v>
      </c>
      <c r="E903">
        <v>35564.76</v>
      </c>
      <c r="F903">
        <v>0</v>
      </c>
      <c r="G903">
        <v>9763.57</v>
      </c>
    </row>
    <row r="904" spans="1:7" x14ac:dyDescent="0.2">
      <c r="A904" t="s">
        <v>1506</v>
      </c>
      <c r="B904" t="s">
        <v>1134</v>
      </c>
      <c r="C904">
        <v>61606.84</v>
      </c>
      <c r="D904">
        <v>50261.25</v>
      </c>
      <c r="E904">
        <v>646.47</v>
      </c>
      <c r="F904">
        <v>0</v>
      </c>
      <c r="G904">
        <v>10699.12</v>
      </c>
    </row>
    <row r="905" spans="1:7" x14ac:dyDescent="0.2">
      <c r="A905" t="s">
        <v>1162</v>
      </c>
      <c r="B905" t="s">
        <v>378</v>
      </c>
      <c r="C905">
        <v>76345.67</v>
      </c>
      <c r="D905">
        <v>73033.67</v>
      </c>
      <c r="E905">
        <v>0</v>
      </c>
      <c r="F905">
        <v>0</v>
      </c>
      <c r="G905">
        <v>3312</v>
      </c>
    </row>
    <row r="906" spans="1:7" x14ac:dyDescent="0.2">
      <c r="A906" t="s">
        <v>946</v>
      </c>
      <c r="B906" t="s">
        <v>830</v>
      </c>
      <c r="C906">
        <v>86139.9</v>
      </c>
      <c r="D906">
        <v>85370.76</v>
      </c>
      <c r="E906">
        <v>0</v>
      </c>
      <c r="F906">
        <v>0</v>
      </c>
      <c r="G906">
        <v>769.14</v>
      </c>
    </row>
    <row r="907" spans="1:7" x14ac:dyDescent="0.2">
      <c r="A907" t="s">
        <v>665</v>
      </c>
      <c r="B907" t="s">
        <v>404</v>
      </c>
      <c r="C907">
        <v>99601.83</v>
      </c>
      <c r="D907">
        <v>94782.39</v>
      </c>
      <c r="E907">
        <v>0</v>
      </c>
      <c r="F907">
        <v>0</v>
      </c>
      <c r="G907">
        <v>4819.4399999999996</v>
      </c>
    </row>
    <row r="908" spans="1:7" x14ac:dyDescent="0.2">
      <c r="A908" t="s">
        <v>1592</v>
      </c>
      <c r="B908" t="s">
        <v>330</v>
      </c>
      <c r="C908">
        <v>58157.78</v>
      </c>
      <c r="D908">
        <v>57473.43</v>
      </c>
      <c r="E908">
        <v>0</v>
      </c>
      <c r="F908">
        <v>0</v>
      </c>
      <c r="G908">
        <v>684.35</v>
      </c>
    </row>
    <row r="909" spans="1:7" x14ac:dyDescent="0.2">
      <c r="A909" t="s">
        <v>1355</v>
      </c>
      <c r="B909" t="s">
        <v>130</v>
      </c>
      <c r="C909">
        <v>66813.2</v>
      </c>
      <c r="D909">
        <v>58867.44</v>
      </c>
      <c r="E909">
        <v>499.58</v>
      </c>
      <c r="F909">
        <v>0</v>
      </c>
      <c r="G909">
        <v>7446.18</v>
      </c>
    </row>
    <row r="910" spans="1:7" x14ac:dyDescent="0.2">
      <c r="A910" t="s">
        <v>982</v>
      </c>
      <c r="B910" t="s">
        <v>378</v>
      </c>
      <c r="C910">
        <v>83589.37</v>
      </c>
      <c r="D910">
        <v>82803.3</v>
      </c>
      <c r="E910">
        <v>0</v>
      </c>
      <c r="F910">
        <v>0</v>
      </c>
      <c r="G910">
        <v>786.07</v>
      </c>
    </row>
    <row r="911" spans="1:7" x14ac:dyDescent="0.2">
      <c r="A911" t="s">
        <v>1273</v>
      </c>
      <c r="B911" t="s">
        <v>1227</v>
      </c>
      <c r="C911">
        <v>70264.960000000006</v>
      </c>
      <c r="D911">
        <v>68866.52</v>
      </c>
      <c r="E911">
        <v>0</v>
      </c>
      <c r="F911">
        <v>0</v>
      </c>
      <c r="G911">
        <v>1398.44</v>
      </c>
    </row>
    <row r="912" spans="1:7" x14ac:dyDescent="0.2">
      <c r="A912" t="s">
        <v>1214</v>
      </c>
      <c r="B912" t="s">
        <v>130</v>
      </c>
      <c r="C912">
        <v>72845.25</v>
      </c>
      <c r="D912">
        <v>59189.14</v>
      </c>
      <c r="E912">
        <v>6152.39</v>
      </c>
      <c r="F912">
        <v>0</v>
      </c>
      <c r="G912">
        <v>7503.72</v>
      </c>
    </row>
    <row r="913" spans="1:7" x14ac:dyDescent="0.2">
      <c r="A913" t="s">
        <v>567</v>
      </c>
      <c r="B913" t="s">
        <v>433</v>
      </c>
      <c r="C913">
        <v>103756.45</v>
      </c>
      <c r="D913">
        <v>97982.399999999994</v>
      </c>
      <c r="E913">
        <v>0</v>
      </c>
      <c r="F913">
        <v>0</v>
      </c>
      <c r="G913">
        <v>5774.05</v>
      </c>
    </row>
    <row r="914" spans="1:7" x14ac:dyDescent="0.2">
      <c r="A914" t="s">
        <v>1019</v>
      </c>
      <c r="B914" t="s">
        <v>433</v>
      </c>
      <c r="C914">
        <v>81637.289999999994</v>
      </c>
      <c r="D914">
        <v>81610.289999999994</v>
      </c>
      <c r="E914">
        <v>0</v>
      </c>
      <c r="F914">
        <v>0</v>
      </c>
      <c r="G914">
        <v>27</v>
      </c>
    </row>
    <row r="915" spans="1:7" x14ac:dyDescent="0.2">
      <c r="A915" t="s">
        <v>411</v>
      </c>
      <c r="B915" t="s">
        <v>265</v>
      </c>
      <c r="C915">
        <v>110790.55</v>
      </c>
      <c r="D915">
        <v>109971.7</v>
      </c>
      <c r="E915">
        <v>0</v>
      </c>
      <c r="F915">
        <v>0</v>
      </c>
      <c r="G915">
        <v>818.85</v>
      </c>
    </row>
    <row r="916" spans="1:7" x14ac:dyDescent="0.2">
      <c r="A916" t="s">
        <v>730</v>
      </c>
      <c r="B916" t="s">
        <v>731</v>
      </c>
      <c r="C916">
        <v>96676.37</v>
      </c>
      <c r="D916">
        <v>75062.33</v>
      </c>
      <c r="E916">
        <v>7235.28</v>
      </c>
      <c r="F916">
        <v>0</v>
      </c>
      <c r="G916">
        <v>14378.76</v>
      </c>
    </row>
    <row r="917" spans="1:7" x14ac:dyDescent="0.2">
      <c r="A917" t="s">
        <v>1623</v>
      </c>
      <c r="B917" t="s">
        <v>378</v>
      </c>
      <c r="C917">
        <v>55910.68</v>
      </c>
      <c r="D917">
        <v>53465.68</v>
      </c>
      <c r="E917">
        <v>0</v>
      </c>
      <c r="F917">
        <v>0</v>
      </c>
      <c r="G917">
        <v>2445</v>
      </c>
    </row>
    <row r="918" spans="1:7" x14ac:dyDescent="0.2">
      <c r="A918" t="s">
        <v>653</v>
      </c>
      <c r="B918" t="s">
        <v>404</v>
      </c>
      <c r="C918">
        <v>100058.07</v>
      </c>
      <c r="D918">
        <v>97890.33</v>
      </c>
      <c r="E918">
        <v>0</v>
      </c>
      <c r="F918">
        <v>0</v>
      </c>
      <c r="G918">
        <v>2167.7399999999998</v>
      </c>
    </row>
    <row r="919" spans="1:7" x14ac:dyDescent="0.2">
      <c r="A919" t="s">
        <v>1364</v>
      </c>
      <c r="B919" t="s">
        <v>378</v>
      </c>
      <c r="C919">
        <v>66639.259999999995</v>
      </c>
      <c r="D919">
        <v>65159.19</v>
      </c>
      <c r="E919">
        <v>0</v>
      </c>
      <c r="F919">
        <v>0</v>
      </c>
      <c r="G919">
        <v>1480.07</v>
      </c>
    </row>
    <row r="920" spans="1:7" x14ac:dyDescent="0.2">
      <c r="A920" t="s">
        <v>1316</v>
      </c>
      <c r="B920" t="s">
        <v>1317</v>
      </c>
      <c r="C920">
        <v>68640.509999999995</v>
      </c>
      <c r="D920">
        <v>51658.13</v>
      </c>
      <c r="E920">
        <v>4981.2</v>
      </c>
      <c r="F920">
        <v>0</v>
      </c>
      <c r="G920">
        <v>12001.18</v>
      </c>
    </row>
    <row r="921" spans="1:7" x14ac:dyDescent="0.2">
      <c r="A921" t="s">
        <v>729</v>
      </c>
      <c r="B921" t="s">
        <v>433</v>
      </c>
      <c r="C921">
        <v>96856.68</v>
      </c>
      <c r="D921">
        <v>94982.52</v>
      </c>
      <c r="E921">
        <v>0</v>
      </c>
      <c r="F921">
        <v>0</v>
      </c>
      <c r="G921">
        <v>1874.16</v>
      </c>
    </row>
    <row r="922" spans="1:7" x14ac:dyDescent="0.2">
      <c r="A922" t="s">
        <v>514</v>
      </c>
      <c r="B922" t="s">
        <v>330</v>
      </c>
      <c r="C922">
        <v>105475.33</v>
      </c>
      <c r="D922">
        <v>104227.83</v>
      </c>
      <c r="E922">
        <v>0</v>
      </c>
      <c r="F922">
        <v>0</v>
      </c>
      <c r="G922">
        <v>1247.5</v>
      </c>
    </row>
    <row r="923" spans="1:7" x14ac:dyDescent="0.2">
      <c r="A923" t="s">
        <v>1226</v>
      </c>
      <c r="B923" t="s">
        <v>1227</v>
      </c>
      <c r="C923">
        <v>72228.98</v>
      </c>
      <c r="D923">
        <v>67869.02</v>
      </c>
      <c r="E923">
        <v>0</v>
      </c>
      <c r="F923">
        <v>0</v>
      </c>
      <c r="G923">
        <v>4359.96</v>
      </c>
    </row>
    <row r="924" spans="1:7" x14ac:dyDescent="0.2">
      <c r="A924" t="s">
        <v>1661</v>
      </c>
      <c r="B924" t="s">
        <v>1134</v>
      </c>
      <c r="C924">
        <v>54604.99</v>
      </c>
      <c r="D924">
        <v>44773.97</v>
      </c>
      <c r="E924">
        <v>2598.92</v>
      </c>
      <c r="F924">
        <v>0</v>
      </c>
      <c r="G924">
        <v>7232.1</v>
      </c>
    </row>
    <row r="925" spans="1:7" x14ac:dyDescent="0.2">
      <c r="A925" t="s">
        <v>1344</v>
      </c>
      <c r="B925" t="s">
        <v>1345</v>
      </c>
      <c r="C925">
        <v>67381.89</v>
      </c>
      <c r="D925">
        <v>66881.89</v>
      </c>
      <c r="E925">
        <v>0</v>
      </c>
      <c r="F925">
        <v>0</v>
      </c>
      <c r="G925">
        <v>500</v>
      </c>
    </row>
    <row r="926" spans="1:7" x14ac:dyDescent="0.2">
      <c r="A926" t="s">
        <v>569</v>
      </c>
      <c r="B926" t="s">
        <v>330</v>
      </c>
      <c r="C926">
        <v>103551.03</v>
      </c>
      <c r="D926">
        <v>101676.87</v>
      </c>
      <c r="E926">
        <v>0</v>
      </c>
      <c r="F926">
        <v>0</v>
      </c>
      <c r="G926">
        <v>1874.16</v>
      </c>
    </row>
    <row r="927" spans="1:7" x14ac:dyDescent="0.2">
      <c r="A927" t="s">
        <v>1447</v>
      </c>
      <c r="B927" t="s">
        <v>1448</v>
      </c>
      <c r="C927">
        <v>63788.33</v>
      </c>
      <c r="D927">
        <v>61788.33</v>
      </c>
      <c r="E927">
        <v>0</v>
      </c>
      <c r="F927">
        <v>0</v>
      </c>
      <c r="G927">
        <v>2000</v>
      </c>
    </row>
    <row r="928" spans="1:7" x14ac:dyDescent="0.2">
      <c r="A928" t="s">
        <v>1591</v>
      </c>
      <c r="B928" t="s">
        <v>378</v>
      </c>
      <c r="C928">
        <v>58185.9</v>
      </c>
      <c r="D928">
        <v>58185.9</v>
      </c>
      <c r="E928">
        <v>0</v>
      </c>
      <c r="F928">
        <v>0</v>
      </c>
      <c r="G928">
        <v>0</v>
      </c>
    </row>
    <row r="929" spans="1:7" x14ac:dyDescent="0.2">
      <c r="A929" t="s">
        <v>444</v>
      </c>
      <c r="B929" t="s">
        <v>130</v>
      </c>
      <c r="C929">
        <v>108868.8</v>
      </c>
      <c r="D929">
        <v>76995.38</v>
      </c>
      <c r="E929">
        <v>8882.4699999999993</v>
      </c>
      <c r="F929">
        <v>862</v>
      </c>
      <c r="G929">
        <v>22128.95</v>
      </c>
    </row>
    <row r="930" spans="1:7" x14ac:dyDescent="0.2">
      <c r="A930" t="s">
        <v>547</v>
      </c>
      <c r="B930" t="s">
        <v>330</v>
      </c>
      <c r="C930">
        <v>104536.93</v>
      </c>
      <c r="D930">
        <v>102077.79</v>
      </c>
      <c r="E930">
        <v>0</v>
      </c>
      <c r="F930">
        <v>0</v>
      </c>
      <c r="G930">
        <v>2459.14</v>
      </c>
    </row>
    <row r="931" spans="1:7" x14ac:dyDescent="0.2">
      <c r="A931" t="s">
        <v>968</v>
      </c>
      <c r="B931" t="s">
        <v>24</v>
      </c>
      <c r="C931">
        <v>84762.76</v>
      </c>
      <c r="D931">
        <v>71992.28</v>
      </c>
      <c r="E931">
        <v>5313</v>
      </c>
      <c r="F931">
        <v>1266</v>
      </c>
      <c r="G931">
        <v>6191.48</v>
      </c>
    </row>
    <row r="932" spans="1:7" x14ac:dyDescent="0.2">
      <c r="A932" t="s">
        <v>692</v>
      </c>
      <c r="B932" t="s">
        <v>378</v>
      </c>
      <c r="C932">
        <v>98431.93</v>
      </c>
      <c r="D932">
        <v>98181.93</v>
      </c>
      <c r="E932">
        <v>0</v>
      </c>
      <c r="F932">
        <v>0</v>
      </c>
      <c r="G932">
        <v>250</v>
      </c>
    </row>
    <row r="933" spans="1:7" x14ac:dyDescent="0.2">
      <c r="A933" t="s">
        <v>670</v>
      </c>
      <c r="B933" t="s">
        <v>330</v>
      </c>
      <c r="C933">
        <v>99229.08</v>
      </c>
      <c r="D933">
        <v>97373.55</v>
      </c>
      <c r="E933">
        <v>0</v>
      </c>
      <c r="F933">
        <v>0</v>
      </c>
      <c r="G933">
        <v>1855.53</v>
      </c>
    </row>
    <row r="934" spans="1:7" x14ac:dyDescent="0.2">
      <c r="A934" t="s">
        <v>148</v>
      </c>
      <c r="B934" t="s">
        <v>65</v>
      </c>
      <c r="C934">
        <v>147990.81</v>
      </c>
      <c r="D934">
        <v>95109.54</v>
      </c>
      <c r="E934">
        <v>13666.89</v>
      </c>
      <c r="F934">
        <v>642</v>
      </c>
      <c r="G934">
        <v>38572.379999999997</v>
      </c>
    </row>
    <row r="935" spans="1:7" x14ac:dyDescent="0.2">
      <c r="A935" t="s">
        <v>79</v>
      </c>
      <c r="B935" t="s">
        <v>69</v>
      </c>
      <c r="C935">
        <v>182990.19</v>
      </c>
      <c r="D935">
        <v>80543.06</v>
      </c>
      <c r="E935">
        <v>55783.57</v>
      </c>
      <c r="F935">
        <v>0</v>
      </c>
      <c r="G935">
        <v>46663.56</v>
      </c>
    </row>
    <row r="936" spans="1:7" x14ac:dyDescent="0.2">
      <c r="A936" t="s">
        <v>217</v>
      </c>
      <c r="B936" t="s">
        <v>218</v>
      </c>
      <c r="C936">
        <v>132068.21</v>
      </c>
      <c r="D936">
        <v>99779.3</v>
      </c>
      <c r="E936">
        <v>12145.41</v>
      </c>
      <c r="F936">
        <v>0</v>
      </c>
      <c r="G936">
        <v>20143.5</v>
      </c>
    </row>
    <row r="937" spans="1:7" x14ac:dyDescent="0.2">
      <c r="A937" t="s">
        <v>296</v>
      </c>
      <c r="B937" t="s">
        <v>130</v>
      </c>
      <c r="C937">
        <v>121749.18</v>
      </c>
      <c r="D937">
        <v>86798.05</v>
      </c>
      <c r="E937">
        <v>1662.36</v>
      </c>
      <c r="F937">
        <v>800</v>
      </c>
      <c r="G937">
        <v>32488.77</v>
      </c>
    </row>
    <row r="938" spans="1:7" x14ac:dyDescent="0.2">
      <c r="A938" t="s">
        <v>1244</v>
      </c>
      <c r="B938" t="s">
        <v>448</v>
      </c>
      <c r="C938">
        <v>71402.210000000006</v>
      </c>
      <c r="D938">
        <v>71402.210000000006</v>
      </c>
      <c r="E938">
        <v>0</v>
      </c>
      <c r="F938">
        <v>0</v>
      </c>
      <c r="G938">
        <v>0</v>
      </c>
    </row>
    <row r="939" spans="1:7" x14ac:dyDescent="0.2">
      <c r="A939" t="s">
        <v>471</v>
      </c>
      <c r="B939" t="s">
        <v>472</v>
      </c>
      <c r="C939">
        <v>107284.81</v>
      </c>
      <c r="D939">
        <v>50233.68</v>
      </c>
      <c r="E939">
        <v>43105.01</v>
      </c>
      <c r="F939">
        <v>0</v>
      </c>
      <c r="G939">
        <v>13946.12</v>
      </c>
    </row>
    <row r="940" spans="1:7" x14ac:dyDescent="0.2">
      <c r="A940" t="s">
        <v>1656</v>
      </c>
      <c r="B940" t="s">
        <v>1621</v>
      </c>
      <c r="C940">
        <v>54842.2</v>
      </c>
      <c r="D940">
        <v>54704.7</v>
      </c>
      <c r="E940">
        <v>0</v>
      </c>
      <c r="F940">
        <v>0</v>
      </c>
      <c r="G940">
        <v>137.5</v>
      </c>
    </row>
    <row r="941" spans="1:7" x14ac:dyDescent="0.2">
      <c r="A941" t="s">
        <v>1562</v>
      </c>
      <c r="B941" t="s">
        <v>1357</v>
      </c>
      <c r="C941">
        <v>59396.78</v>
      </c>
      <c r="D941">
        <v>49768.19</v>
      </c>
      <c r="E941">
        <v>0</v>
      </c>
      <c r="F941">
        <v>0</v>
      </c>
      <c r="G941">
        <v>9628.59</v>
      </c>
    </row>
    <row r="942" spans="1:7" x14ac:dyDescent="0.2">
      <c r="A942" t="s">
        <v>847</v>
      </c>
      <c r="B942" t="s">
        <v>317</v>
      </c>
      <c r="C942">
        <v>91954.47</v>
      </c>
      <c r="D942">
        <v>58077.85</v>
      </c>
      <c r="E942">
        <v>17924.169999999998</v>
      </c>
      <c r="F942">
        <v>0</v>
      </c>
      <c r="G942">
        <v>15952.45</v>
      </c>
    </row>
    <row r="943" spans="1:7" x14ac:dyDescent="0.2">
      <c r="A943" t="s">
        <v>593</v>
      </c>
      <c r="B943" t="s">
        <v>594</v>
      </c>
      <c r="C943">
        <v>102285.83</v>
      </c>
      <c r="D943">
        <v>100548.64</v>
      </c>
      <c r="E943">
        <v>0</v>
      </c>
      <c r="F943">
        <v>0</v>
      </c>
      <c r="G943">
        <v>1737.19</v>
      </c>
    </row>
    <row r="944" spans="1:7" x14ac:dyDescent="0.2">
      <c r="A944" t="s">
        <v>1002</v>
      </c>
      <c r="B944" t="s">
        <v>330</v>
      </c>
      <c r="C944">
        <v>82416.990000000005</v>
      </c>
      <c r="D944">
        <v>80960.990000000005</v>
      </c>
      <c r="E944">
        <v>0</v>
      </c>
      <c r="F944">
        <v>0</v>
      </c>
      <c r="G944">
        <v>1456</v>
      </c>
    </row>
    <row r="945" spans="1:7" x14ac:dyDescent="0.2">
      <c r="A945" t="s">
        <v>240</v>
      </c>
      <c r="B945" t="s">
        <v>24</v>
      </c>
      <c r="C945">
        <v>128401.26</v>
      </c>
      <c r="D945">
        <v>79023.38</v>
      </c>
      <c r="E945">
        <v>595.26</v>
      </c>
      <c r="F945">
        <v>42732</v>
      </c>
      <c r="G945">
        <v>6050.62</v>
      </c>
    </row>
    <row r="946" spans="1:7" x14ac:dyDescent="0.2">
      <c r="A946" t="s">
        <v>493</v>
      </c>
      <c r="B946" t="s">
        <v>378</v>
      </c>
      <c r="C946">
        <v>106255.06</v>
      </c>
      <c r="D946">
        <v>104295.9</v>
      </c>
      <c r="E946">
        <v>0</v>
      </c>
      <c r="F946">
        <v>0</v>
      </c>
      <c r="G946">
        <v>1959.16</v>
      </c>
    </row>
    <row r="947" spans="1:7" x14ac:dyDescent="0.2">
      <c r="A947" t="s">
        <v>202</v>
      </c>
      <c r="B947" t="s">
        <v>162</v>
      </c>
      <c r="C947">
        <v>134355.39000000001</v>
      </c>
      <c r="D947">
        <v>76378.02</v>
      </c>
      <c r="E947">
        <v>38031.01</v>
      </c>
      <c r="F947">
        <v>0</v>
      </c>
      <c r="G947">
        <v>19946.36</v>
      </c>
    </row>
    <row r="948" spans="1:7" x14ac:dyDescent="0.2">
      <c r="A948" t="s">
        <v>966</v>
      </c>
      <c r="B948" t="s">
        <v>404</v>
      </c>
      <c r="C948">
        <v>84948.25</v>
      </c>
      <c r="D948">
        <v>83957.25</v>
      </c>
      <c r="E948">
        <v>0</v>
      </c>
      <c r="F948">
        <v>0</v>
      </c>
      <c r="G948">
        <v>991</v>
      </c>
    </row>
    <row r="949" spans="1:7" x14ac:dyDescent="0.2">
      <c r="A949" t="s">
        <v>1511</v>
      </c>
      <c r="B949" t="s">
        <v>330</v>
      </c>
      <c r="C949">
        <v>61266.05</v>
      </c>
      <c r="D949">
        <v>60341.67</v>
      </c>
      <c r="E949">
        <v>0</v>
      </c>
      <c r="F949">
        <v>0</v>
      </c>
      <c r="G949">
        <v>924.38</v>
      </c>
    </row>
    <row r="950" spans="1:7" x14ac:dyDescent="0.2">
      <c r="A950" t="s">
        <v>1011</v>
      </c>
      <c r="B950" t="s">
        <v>404</v>
      </c>
      <c r="C950">
        <v>81856.399999999994</v>
      </c>
      <c r="D950">
        <v>77775.570000000007</v>
      </c>
      <c r="E950">
        <v>0</v>
      </c>
      <c r="F950">
        <v>0</v>
      </c>
      <c r="G950">
        <v>4080.83</v>
      </c>
    </row>
    <row r="951" spans="1:7" x14ac:dyDescent="0.2">
      <c r="A951" t="s">
        <v>337</v>
      </c>
      <c r="B951" t="s">
        <v>130</v>
      </c>
      <c r="C951">
        <v>118914.01</v>
      </c>
      <c r="D951">
        <v>79718.19</v>
      </c>
      <c r="E951">
        <v>8061.12</v>
      </c>
      <c r="F951">
        <v>901</v>
      </c>
      <c r="G951">
        <v>30233.7</v>
      </c>
    </row>
    <row r="952" spans="1:7" x14ac:dyDescent="0.2">
      <c r="A952" t="s">
        <v>340</v>
      </c>
      <c r="B952" t="s">
        <v>24</v>
      </c>
      <c r="C952">
        <v>118572.81</v>
      </c>
      <c r="D952">
        <v>68114.52</v>
      </c>
      <c r="E952">
        <v>12375.39</v>
      </c>
      <c r="F952">
        <v>32397.5</v>
      </c>
      <c r="G952">
        <v>5685.4</v>
      </c>
    </row>
    <row r="953" spans="1:7" x14ac:dyDescent="0.2">
      <c r="A953" t="s">
        <v>1601</v>
      </c>
      <c r="B953" t="s">
        <v>1266</v>
      </c>
      <c r="C953">
        <v>57603.76</v>
      </c>
      <c r="D953">
        <v>50037.31</v>
      </c>
      <c r="E953">
        <v>4893.0600000000004</v>
      </c>
      <c r="F953">
        <v>0</v>
      </c>
      <c r="G953">
        <v>2673.39</v>
      </c>
    </row>
    <row r="954" spans="1:7" x14ac:dyDescent="0.2">
      <c r="A954" t="s">
        <v>141</v>
      </c>
      <c r="B954" t="s">
        <v>142</v>
      </c>
      <c r="C954">
        <v>149426.57999999999</v>
      </c>
      <c r="D954">
        <v>111325.16</v>
      </c>
      <c r="E954">
        <v>0</v>
      </c>
      <c r="F954">
        <v>0</v>
      </c>
      <c r="G954">
        <v>38101.42</v>
      </c>
    </row>
    <row r="955" spans="1:7" x14ac:dyDescent="0.2">
      <c r="A955" t="s">
        <v>343</v>
      </c>
      <c r="B955" t="s">
        <v>130</v>
      </c>
      <c r="C955">
        <v>118138.09</v>
      </c>
      <c r="D955">
        <v>77440.570000000007</v>
      </c>
      <c r="E955">
        <v>8363.1</v>
      </c>
      <c r="F955">
        <v>611</v>
      </c>
      <c r="G955">
        <v>31723.42</v>
      </c>
    </row>
    <row r="956" spans="1:7" x14ac:dyDescent="0.2">
      <c r="A956" t="s">
        <v>351</v>
      </c>
      <c r="B956" t="s">
        <v>130</v>
      </c>
      <c r="C956">
        <v>117262.45</v>
      </c>
      <c r="D956">
        <v>82783.820000000007</v>
      </c>
      <c r="E956">
        <v>4871.45</v>
      </c>
      <c r="F956">
        <v>0</v>
      </c>
      <c r="G956">
        <v>29607.18</v>
      </c>
    </row>
    <row r="957" spans="1:7" x14ac:dyDescent="0.2">
      <c r="A957" t="s">
        <v>654</v>
      </c>
      <c r="B957" t="s">
        <v>378</v>
      </c>
      <c r="C957">
        <v>100056.09</v>
      </c>
      <c r="D957">
        <v>98181.93</v>
      </c>
      <c r="E957">
        <v>0</v>
      </c>
      <c r="F957">
        <v>0</v>
      </c>
      <c r="G957">
        <v>1874.16</v>
      </c>
    </row>
    <row r="958" spans="1:7" x14ac:dyDescent="0.2">
      <c r="A958" t="s">
        <v>486</v>
      </c>
      <c r="B958" t="s">
        <v>330</v>
      </c>
      <c r="C958">
        <v>106538.58</v>
      </c>
      <c r="D958">
        <v>104813.19</v>
      </c>
      <c r="E958">
        <v>0</v>
      </c>
      <c r="F958">
        <v>0</v>
      </c>
      <c r="G958">
        <v>1725.39</v>
      </c>
    </row>
    <row r="959" spans="1:7" x14ac:dyDescent="0.2">
      <c r="A959" t="s">
        <v>1232</v>
      </c>
      <c r="B959" t="s">
        <v>895</v>
      </c>
      <c r="C959">
        <v>72114.47</v>
      </c>
      <c r="D959">
        <v>55940.26</v>
      </c>
      <c r="E959">
        <v>5379.93</v>
      </c>
      <c r="F959">
        <v>0</v>
      </c>
      <c r="G959">
        <v>10794.28</v>
      </c>
    </row>
    <row r="960" spans="1:7" x14ac:dyDescent="0.2">
      <c r="A960" t="s">
        <v>122</v>
      </c>
      <c r="B960" t="s">
        <v>24</v>
      </c>
      <c r="C960">
        <v>155403.48000000001</v>
      </c>
      <c r="D960">
        <v>87690.75</v>
      </c>
      <c r="E960">
        <v>8732.07</v>
      </c>
      <c r="F960">
        <v>48931.5</v>
      </c>
      <c r="G960">
        <v>10049.16</v>
      </c>
    </row>
    <row r="961" spans="1:7" x14ac:dyDescent="0.2">
      <c r="A961" t="s">
        <v>1016</v>
      </c>
      <c r="B961" t="s">
        <v>519</v>
      </c>
      <c r="C961">
        <v>81744.539999999994</v>
      </c>
      <c r="D961">
        <v>49941.67</v>
      </c>
      <c r="E961">
        <v>19497.509999999998</v>
      </c>
      <c r="F961">
        <v>0</v>
      </c>
      <c r="G961">
        <v>12305.36</v>
      </c>
    </row>
    <row r="962" spans="1:7" x14ac:dyDescent="0.2">
      <c r="A962" t="s">
        <v>1388</v>
      </c>
      <c r="B962" t="s">
        <v>1389</v>
      </c>
      <c r="C962">
        <v>65990.87</v>
      </c>
      <c r="D962">
        <v>64909.16</v>
      </c>
      <c r="E962">
        <v>881.71</v>
      </c>
      <c r="F962">
        <v>0</v>
      </c>
      <c r="G962">
        <v>200</v>
      </c>
    </row>
    <row r="963" spans="1:7" x14ac:dyDescent="0.2">
      <c r="A963" t="s">
        <v>836</v>
      </c>
      <c r="B963" t="s">
        <v>330</v>
      </c>
      <c r="C963">
        <v>92582.43</v>
      </c>
      <c r="D963">
        <v>92582.43</v>
      </c>
      <c r="E963">
        <v>0</v>
      </c>
      <c r="F963">
        <v>0</v>
      </c>
      <c r="G963">
        <v>0</v>
      </c>
    </row>
    <row r="964" spans="1:7" x14ac:dyDescent="0.2">
      <c r="A964" t="s">
        <v>1184</v>
      </c>
      <c r="B964" t="s">
        <v>404</v>
      </c>
      <c r="C964">
        <v>75233.84</v>
      </c>
      <c r="D964">
        <v>75051.839999999997</v>
      </c>
      <c r="E964">
        <v>0</v>
      </c>
      <c r="F964">
        <v>0</v>
      </c>
      <c r="G964">
        <v>182</v>
      </c>
    </row>
    <row r="965" spans="1:7" x14ac:dyDescent="0.2">
      <c r="A965" t="s">
        <v>546</v>
      </c>
      <c r="B965" t="s">
        <v>24</v>
      </c>
      <c r="C965">
        <v>104558.39</v>
      </c>
      <c r="D965">
        <v>68216.3</v>
      </c>
      <c r="E965">
        <v>25630.35</v>
      </c>
      <c r="F965">
        <v>0</v>
      </c>
      <c r="G965">
        <v>10711.74</v>
      </c>
    </row>
    <row r="966" spans="1:7" x14ac:dyDescent="0.2">
      <c r="A966" t="s">
        <v>859</v>
      </c>
      <c r="B966" t="s">
        <v>860</v>
      </c>
      <c r="C966">
        <v>91606.080000000002</v>
      </c>
      <c r="D966">
        <v>91099.31</v>
      </c>
      <c r="E966">
        <v>0</v>
      </c>
      <c r="F966">
        <v>0</v>
      </c>
      <c r="G966">
        <v>506.77</v>
      </c>
    </row>
    <row r="967" spans="1:7" x14ac:dyDescent="0.2">
      <c r="A967" t="s">
        <v>885</v>
      </c>
      <c r="B967" t="s">
        <v>378</v>
      </c>
      <c r="C967">
        <v>89805.49</v>
      </c>
      <c r="D967">
        <v>86608.85</v>
      </c>
      <c r="E967">
        <v>0</v>
      </c>
      <c r="F967">
        <v>0</v>
      </c>
      <c r="G967">
        <v>3196.64</v>
      </c>
    </row>
    <row r="968" spans="1:7" x14ac:dyDescent="0.2">
      <c r="A968" t="s">
        <v>570</v>
      </c>
      <c r="B968" t="s">
        <v>404</v>
      </c>
      <c r="C968">
        <v>103551.03</v>
      </c>
      <c r="D968">
        <v>101676.87</v>
      </c>
      <c r="E968">
        <v>0</v>
      </c>
      <c r="F968">
        <v>0</v>
      </c>
      <c r="G968">
        <v>1874.16</v>
      </c>
    </row>
    <row r="969" spans="1:7" x14ac:dyDescent="0.2">
      <c r="A969" t="s">
        <v>483</v>
      </c>
      <c r="B969" t="s">
        <v>378</v>
      </c>
      <c r="C969">
        <v>106661.43</v>
      </c>
      <c r="D969">
        <v>104427.9</v>
      </c>
      <c r="E969">
        <v>0</v>
      </c>
      <c r="F969">
        <v>0</v>
      </c>
      <c r="G969">
        <v>2233.5300000000002</v>
      </c>
    </row>
    <row r="970" spans="1:7" x14ac:dyDescent="0.2">
      <c r="A970" t="s">
        <v>620</v>
      </c>
      <c r="B970" t="s">
        <v>378</v>
      </c>
      <c r="C970">
        <v>101261.01</v>
      </c>
      <c r="D970">
        <v>99409.43</v>
      </c>
      <c r="E970">
        <v>0</v>
      </c>
      <c r="F970">
        <v>0</v>
      </c>
      <c r="G970">
        <v>1851.58</v>
      </c>
    </row>
    <row r="971" spans="1:7" x14ac:dyDescent="0.2">
      <c r="A971" t="s">
        <v>1439</v>
      </c>
      <c r="B971" t="s">
        <v>1440</v>
      </c>
      <c r="C971">
        <v>64074.84</v>
      </c>
      <c r="D971">
        <v>63024.14</v>
      </c>
      <c r="E971">
        <v>1050.7</v>
      </c>
      <c r="F971">
        <v>0</v>
      </c>
      <c r="G971">
        <v>0</v>
      </c>
    </row>
    <row r="972" spans="1:7" x14ac:dyDescent="0.2">
      <c r="A972" t="s">
        <v>1395</v>
      </c>
      <c r="B972" t="s">
        <v>648</v>
      </c>
      <c r="C972">
        <v>65692.350000000006</v>
      </c>
      <c r="D972">
        <v>65455.35</v>
      </c>
      <c r="E972">
        <v>0</v>
      </c>
      <c r="F972">
        <v>0</v>
      </c>
      <c r="G972">
        <v>237</v>
      </c>
    </row>
    <row r="973" spans="1:7" x14ac:dyDescent="0.2">
      <c r="A973" t="s">
        <v>1486</v>
      </c>
      <c r="B973" t="s">
        <v>1487</v>
      </c>
      <c r="C973">
        <v>61877</v>
      </c>
      <c r="D973">
        <v>61877</v>
      </c>
      <c r="E973">
        <v>0</v>
      </c>
      <c r="F973">
        <v>0</v>
      </c>
      <c r="G973">
        <v>0</v>
      </c>
    </row>
    <row r="974" spans="1:7" x14ac:dyDescent="0.2">
      <c r="A974" t="s">
        <v>181</v>
      </c>
      <c r="B974" t="s">
        <v>65</v>
      </c>
      <c r="C974">
        <v>139972.69</v>
      </c>
      <c r="D974">
        <v>94423.05</v>
      </c>
      <c r="E974">
        <v>10139.65</v>
      </c>
      <c r="F974">
        <v>797.63</v>
      </c>
      <c r="G974">
        <v>34612.36</v>
      </c>
    </row>
    <row r="975" spans="1:7" x14ac:dyDescent="0.2">
      <c r="A975" t="s">
        <v>1685</v>
      </c>
      <c r="B975" t="s">
        <v>1686</v>
      </c>
      <c r="C975">
        <v>53550.14</v>
      </c>
      <c r="D975">
        <v>53024.94</v>
      </c>
      <c r="E975">
        <v>525.20000000000005</v>
      </c>
      <c r="F975">
        <v>0</v>
      </c>
      <c r="G975">
        <v>0</v>
      </c>
    </row>
    <row r="976" spans="1:7" x14ac:dyDescent="0.2">
      <c r="A976" t="s">
        <v>1436</v>
      </c>
      <c r="B976" t="s">
        <v>756</v>
      </c>
      <c r="C976">
        <v>64216.58</v>
      </c>
      <c r="D976">
        <v>40393.68</v>
      </c>
      <c r="E976">
        <v>23121.23</v>
      </c>
      <c r="F976">
        <v>0</v>
      </c>
      <c r="G976">
        <v>701.67</v>
      </c>
    </row>
    <row r="977" spans="1:7" x14ac:dyDescent="0.2">
      <c r="A977" t="s">
        <v>614</v>
      </c>
      <c r="B977" t="s">
        <v>330</v>
      </c>
      <c r="C977">
        <v>101486.81</v>
      </c>
      <c r="D977">
        <v>100067.67</v>
      </c>
      <c r="E977">
        <v>0</v>
      </c>
      <c r="F977">
        <v>0</v>
      </c>
      <c r="G977">
        <v>1419.14</v>
      </c>
    </row>
    <row r="978" spans="1:7" x14ac:dyDescent="0.2">
      <c r="A978" t="s">
        <v>512</v>
      </c>
      <c r="B978" t="s">
        <v>378</v>
      </c>
      <c r="C978">
        <v>105515.12</v>
      </c>
      <c r="D978">
        <v>104535</v>
      </c>
      <c r="E978">
        <v>0</v>
      </c>
      <c r="F978">
        <v>0</v>
      </c>
      <c r="G978">
        <v>980.12</v>
      </c>
    </row>
    <row r="979" spans="1:7" x14ac:dyDescent="0.2">
      <c r="A979" t="s">
        <v>1197</v>
      </c>
      <c r="B979" t="s">
        <v>1024</v>
      </c>
      <c r="C979">
        <v>73821.45</v>
      </c>
      <c r="D979">
        <v>59186.09</v>
      </c>
      <c r="E979">
        <v>2.9</v>
      </c>
      <c r="F979">
        <v>0</v>
      </c>
      <c r="G979">
        <v>14632.46</v>
      </c>
    </row>
    <row r="980" spans="1:7" x14ac:dyDescent="0.2">
      <c r="A980" t="s">
        <v>478</v>
      </c>
      <c r="B980" t="s">
        <v>130</v>
      </c>
      <c r="C980">
        <v>107058.65</v>
      </c>
      <c r="D980">
        <v>78028.789999999994</v>
      </c>
      <c r="E980">
        <v>231.88</v>
      </c>
      <c r="F980">
        <v>0</v>
      </c>
      <c r="G980">
        <v>28797.98</v>
      </c>
    </row>
    <row r="981" spans="1:7" x14ac:dyDescent="0.2">
      <c r="A981" t="s">
        <v>1416</v>
      </c>
      <c r="B981" t="s">
        <v>1134</v>
      </c>
      <c r="C981">
        <v>65159.01</v>
      </c>
      <c r="D981">
        <v>51268.7</v>
      </c>
      <c r="E981">
        <v>3552.53</v>
      </c>
      <c r="F981">
        <v>0</v>
      </c>
      <c r="G981">
        <v>10337.780000000001</v>
      </c>
    </row>
    <row r="982" spans="1:7" x14ac:dyDescent="0.2">
      <c r="A982" t="s">
        <v>1155</v>
      </c>
      <c r="B982" t="s">
        <v>1024</v>
      </c>
      <c r="C982">
        <v>76458.77</v>
      </c>
      <c r="D982">
        <v>59474.53</v>
      </c>
      <c r="E982">
        <v>2.0299999999999998</v>
      </c>
      <c r="F982">
        <v>0</v>
      </c>
      <c r="G982">
        <v>16982.21</v>
      </c>
    </row>
    <row r="983" spans="1:7" x14ac:dyDescent="0.2">
      <c r="A983" t="s">
        <v>1144</v>
      </c>
      <c r="B983" t="s">
        <v>433</v>
      </c>
      <c r="C983">
        <v>76682.69</v>
      </c>
      <c r="D983">
        <v>73314.69</v>
      </c>
      <c r="E983">
        <v>0</v>
      </c>
      <c r="F983">
        <v>0</v>
      </c>
      <c r="G983">
        <v>3368</v>
      </c>
    </row>
    <row r="984" spans="1:7" x14ac:dyDescent="0.2">
      <c r="A984" t="s">
        <v>703</v>
      </c>
      <c r="B984" t="s">
        <v>448</v>
      </c>
      <c r="C984">
        <v>98022.33</v>
      </c>
      <c r="D984">
        <v>94182.43</v>
      </c>
      <c r="E984">
        <v>0</v>
      </c>
      <c r="F984">
        <v>0</v>
      </c>
      <c r="G984">
        <v>3839.9</v>
      </c>
    </row>
    <row r="985" spans="1:7" x14ac:dyDescent="0.2">
      <c r="A985" t="s">
        <v>878</v>
      </c>
      <c r="B985" t="s">
        <v>879</v>
      </c>
      <c r="C985">
        <v>90279.25</v>
      </c>
      <c r="D985">
        <v>57371.13</v>
      </c>
      <c r="E985">
        <v>21235.55</v>
      </c>
      <c r="F985">
        <v>0</v>
      </c>
      <c r="G985">
        <v>11672.57</v>
      </c>
    </row>
    <row r="986" spans="1:7" x14ac:dyDescent="0.2">
      <c r="A986" t="s">
        <v>129</v>
      </c>
      <c r="B986" t="s">
        <v>130</v>
      </c>
      <c r="C986">
        <v>152534.43</v>
      </c>
      <c r="D986">
        <v>84381.27</v>
      </c>
      <c r="E986">
        <v>15664.85</v>
      </c>
      <c r="F986">
        <v>19502.5</v>
      </c>
      <c r="G986">
        <v>32985.81</v>
      </c>
    </row>
    <row r="987" spans="1:7" x14ac:dyDescent="0.2">
      <c r="A987" t="s">
        <v>398</v>
      </c>
      <c r="B987" t="s">
        <v>346</v>
      </c>
      <c r="C987">
        <v>111465.68</v>
      </c>
      <c r="D987">
        <v>67487.97</v>
      </c>
      <c r="E987">
        <v>28634.23</v>
      </c>
      <c r="F987">
        <v>0</v>
      </c>
      <c r="G987">
        <v>15343.48</v>
      </c>
    </row>
    <row r="988" spans="1:7" x14ac:dyDescent="0.2">
      <c r="A988" t="s">
        <v>347</v>
      </c>
      <c r="B988" t="s">
        <v>130</v>
      </c>
      <c r="C988">
        <v>117755.96</v>
      </c>
      <c r="D988">
        <v>79878.009999999995</v>
      </c>
      <c r="E988">
        <v>10343.290000000001</v>
      </c>
      <c r="F988">
        <v>708</v>
      </c>
      <c r="G988">
        <v>26826.66</v>
      </c>
    </row>
    <row r="989" spans="1:7" x14ac:dyDescent="0.2">
      <c r="A989" t="s">
        <v>1652</v>
      </c>
      <c r="B989" t="s">
        <v>423</v>
      </c>
      <c r="C989">
        <v>54923.13</v>
      </c>
      <c r="D989">
        <v>54923.13</v>
      </c>
      <c r="E989">
        <v>0</v>
      </c>
      <c r="F989">
        <v>0</v>
      </c>
      <c r="G989">
        <v>0</v>
      </c>
    </row>
    <row r="990" spans="1:7" x14ac:dyDescent="0.2">
      <c r="A990" t="s">
        <v>640</v>
      </c>
      <c r="B990" t="s">
        <v>641</v>
      </c>
      <c r="C990">
        <v>100355.06</v>
      </c>
      <c r="D990">
        <v>98155.68</v>
      </c>
      <c r="E990">
        <v>0</v>
      </c>
      <c r="F990">
        <v>0</v>
      </c>
      <c r="G990">
        <v>2199.38</v>
      </c>
    </row>
    <row r="991" spans="1:7" x14ac:dyDescent="0.2">
      <c r="A991" t="s">
        <v>1264</v>
      </c>
      <c r="B991" t="s">
        <v>330</v>
      </c>
      <c r="C991">
        <v>70614.3</v>
      </c>
      <c r="D991">
        <v>70614.3</v>
      </c>
      <c r="E991">
        <v>0</v>
      </c>
      <c r="F991">
        <v>0</v>
      </c>
      <c r="G991">
        <v>0</v>
      </c>
    </row>
    <row r="992" spans="1:7" x14ac:dyDescent="0.2">
      <c r="A992" t="s">
        <v>1579</v>
      </c>
      <c r="B992" t="s">
        <v>1357</v>
      </c>
      <c r="C992">
        <v>58581.89</v>
      </c>
      <c r="D992">
        <v>44409.46</v>
      </c>
      <c r="E992">
        <v>6578.46</v>
      </c>
      <c r="F992">
        <v>0</v>
      </c>
      <c r="G992">
        <v>7593.97</v>
      </c>
    </row>
    <row r="993" spans="1:7" x14ac:dyDescent="0.2">
      <c r="A993" t="s">
        <v>213</v>
      </c>
      <c r="B993" t="s">
        <v>24</v>
      </c>
      <c r="C993">
        <v>132955.09</v>
      </c>
      <c r="D993">
        <v>71888.34</v>
      </c>
      <c r="E993">
        <v>28631.27</v>
      </c>
      <c r="F993">
        <v>26844</v>
      </c>
      <c r="G993">
        <v>5591.48</v>
      </c>
    </row>
    <row r="994" spans="1:7" x14ac:dyDescent="0.2">
      <c r="A994" t="s">
        <v>219</v>
      </c>
      <c r="B994" t="s">
        <v>65</v>
      </c>
      <c r="C994">
        <v>131968.25</v>
      </c>
      <c r="D994">
        <v>95547.59</v>
      </c>
      <c r="E994">
        <v>1140.94</v>
      </c>
      <c r="F994">
        <v>0</v>
      </c>
      <c r="G994">
        <v>35279.72</v>
      </c>
    </row>
    <row r="995" spans="1:7" x14ac:dyDescent="0.2">
      <c r="A995" t="s">
        <v>801</v>
      </c>
      <c r="B995" t="s">
        <v>378</v>
      </c>
      <c r="C995">
        <v>94099.61</v>
      </c>
      <c r="D995">
        <v>89777.11</v>
      </c>
      <c r="E995">
        <v>0</v>
      </c>
      <c r="F995">
        <v>0</v>
      </c>
      <c r="G995">
        <v>4322.5</v>
      </c>
    </row>
    <row r="996" spans="1:7" x14ac:dyDescent="0.2">
      <c r="A996" t="s">
        <v>1598</v>
      </c>
      <c r="B996" t="s">
        <v>1134</v>
      </c>
      <c r="C996">
        <v>57707.45</v>
      </c>
      <c r="D996">
        <v>49241.3</v>
      </c>
      <c r="E996">
        <v>2616.48</v>
      </c>
      <c r="F996">
        <v>0</v>
      </c>
      <c r="G996">
        <v>5849.67</v>
      </c>
    </row>
    <row r="997" spans="1:7" x14ac:dyDescent="0.2">
      <c r="A997" t="s">
        <v>191</v>
      </c>
      <c r="B997" t="s">
        <v>24</v>
      </c>
      <c r="C997">
        <v>136552.85</v>
      </c>
      <c r="D997">
        <v>71952.350000000006</v>
      </c>
      <c r="E997">
        <v>6198.52</v>
      </c>
      <c r="F997">
        <v>52810.5</v>
      </c>
      <c r="G997">
        <v>5591.48</v>
      </c>
    </row>
    <row r="998" spans="1:7" x14ac:dyDescent="0.2">
      <c r="A998" t="s">
        <v>1410</v>
      </c>
      <c r="B998" t="s">
        <v>1411</v>
      </c>
      <c r="C998">
        <v>65242.04</v>
      </c>
      <c r="D998">
        <v>64909.14</v>
      </c>
      <c r="E998">
        <v>332.9</v>
      </c>
      <c r="F998">
        <v>0</v>
      </c>
      <c r="G998">
        <v>0</v>
      </c>
    </row>
    <row r="999" spans="1:7" x14ac:dyDescent="0.2">
      <c r="A999" t="s">
        <v>995</v>
      </c>
      <c r="B999" t="s">
        <v>996</v>
      </c>
      <c r="C999">
        <v>82759.179999999993</v>
      </c>
      <c r="D999">
        <v>82759.179999999993</v>
      </c>
      <c r="E999">
        <v>0</v>
      </c>
      <c r="F999">
        <v>0</v>
      </c>
      <c r="G999">
        <v>0</v>
      </c>
    </row>
    <row r="1000" spans="1:7" x14ac:dyDescent="0.2">
      <c r="A1000" t="s">
        <v>943</v>
      </c>
      <c r="B1000" t="s">
        <v>830</v>
      </c>
      <c r="C1000">
        <v>86684.22</v>
      </c>
      <c r="D1000">
        <v>85370.76</v>
      </c>
      <c r="E1000">
        <v>0</v>
      </c>
      <c r="F1000">
        <v>0</v>
      </c>
      <c r="G1000">
        <v>1313.46</v>
      </c>
    </row>
    <row r="1001" spans="1:7" x14ac:dyDescent="0.2">
      <c r="A1001" t="s">
        <v>1423</v>
      </c>
      <c r="B1001" t="s">
        <v>1357</v>
      </c>
      <c r="C1001">
        <v>64724.51</v>
      </c>
      <c r="D1001">
        <v>46956.480000000003</v>
      </c>
      <c r="E1001">
        <v>5857.53</v>
      </c>
      <c r="F1001">
        <v>0</v>
      </c>
      <c r="G1001">
        <v>11910.5</v>
      </c>
    </row>
    <row r="1002" spans="1:7" x14ac:dyDescent="0.2">
      <c r="A1002" t="s">
        <v>1570</v>
      </c>
      <c r="B1002" t="s">
        <v>472</v>
      </c>
      <c r="C1002">
        <v>58814.55</v>
      </c>
      <c r="D1002">
        <v>46230.01</v>
      </c>
      <c r="E1002">
        <v>1580.56</v>
      </c>
      <c r="F1002">
        <v>0</v>
      </c>
      <c r="G1002">
        <v>11003.98</v>
      </c>
    </row>
    <row r="1003" spans="1:7" x14ac:dyDescent="0.2">
      <c r="A1003" t="s">
        <v>1614</v>
      </c>
      <c r="B1003" t="s">
        <v>1028</v>
      </c>
      <c r="C1003">
        <v>56581.26</v>
      </c>
      <c r="D1003">
        <v>53599</v>
      </c>
      <c r="E1003">
        <v>0</v>
      </c>
      <c r="F1003">
        <v>0</v>
      </c>
      <c r="G1003">
        <v>2982.26</v>
      </c>
    </row>
    <row r="1004" spans="1:7" x14ac:dyDescent="0.2">
      <c r="A1004" t="s">
        <v>235</v>
      </c>
      <c r="B1004" t="s">
        <v>130</v>
      </c>
      <c r="C1004">
        <v>129206.67</v>
      </c>
      <c r="D1004">
        <v>80182.679999999993</v>
      </c>
      <c r="E1004">
        <v>15163.46</v>
      </c>
      <c r="F1004">
        <v>0</v>
      </c>
      <c r="G1004">
        <v>33860.53</v>
      </c>
    </row>
    <row r="1005" spans="1:7" x14ac:dyDescent="0.2">
      <c r="A1005" t="s">
        <v>1145</v>
      </c>
      <c r="B1005" t="s">
        <v>1146</v>
      </c>
      <c r="C1005">
        <v>76676.289999999994</v>
      </c>
      <c r="D1005">
        <v>71400.639999999999</v>
      </c>
      <c r="E1005">
        <v>21.14</v>
      </c>
      <c r="F1005">
        <v>0</v>
      </c>
      <c r="G1005">
        <v>5254.51</v>
      </c>
    </row>
    <row r="1006" spans="1:7" x14ac:dyDescent="0.2">
      <c r="A1006" t="s">
        <v>1433</v>
      </c>
      <c r="B1006" t="s">
        <v>1000</v>
      </c>
      <c r="C1006">
        <v>64416.9</v>
      </c>
      <c r="D1006">
        <v>51337.96</v>
      </c>
      <c r="E1006">
        <v>4102.0200000000004</v>
      </c>
      <c r="F1006">
        <v>0</v>
      </c>
      <c r="G1006">
        <v>8976.92</v>
      </c>
    </row>
    <row r="1007" spans="1:7" x14ac:dyDescent="0.2">
      <c r="A1007" t="s">
        <v>215</v>
      </c>
      <c r="B1007" t="s">
        <v>34</v>
      </c>
      <c r="C1007">
        <v>132376.5</v>
      </c>
      <c r="D1007">
        <v>90342.65</v>
      </c>
      <c r="E1007">
        <v>25001.19</v>
      </c>
      <c r="F1007">
        <v>6756</v>
      </c>
      <c r="G1007">
        <v>10276.66</v>
      </c>
    </row>
    <row r="1008" spans="1:7" x14ac:dyDescent="0.2">
      <c r="A1008" t="s">
        <v>1536</v>
      </c>
      <c r="B1008" t="s">
        <v>1314</v>
      </c>
      <c r="C1008">
        <v>60094.13</v>
      </c>
      <c r="D1008">
        <v>57169.85</v>
      </c>
      <c r="E1008">
        <v>0</v>
      </c>
      <c r="F1008">
        <v>0</v>
      </c>
      <c r="G1008">
        <v>2924.28</v>
      </c>
    </row>
    <row r="1009" spans="1:7" x14ac:dyDescent="0.2">
      <c r="A1009" t="s">
        <v>875</v>
      </c>
      <c r="B1009" t="s">
        <v>404</v>
      </c>
      <c r="C1009">
        <v>90493.74</v>
      </c>
      <c r="D1009">
        <v>89487.94</v>
      </c>
      <c r="E1009">
        <v>0</v>
      </c>
      <c r="F1009">
        <v>0</v>
      </c>
      <c r="G1009">
        <v>1005.8</v>
      </c>
    </row>
    <row r="1010" spans="1:7" x14ac:dyDescent="0.2">
      <c r="A1010" t="s">
        <v>967</v>
      </c>
      <c r="B1010" t="s">
        <v>648</v>
      </c>
      <c r="C1010">
        <v>84831.54</v>
      </c>
      <c r="D1010">
        <v>83138.009999999995</v>
      </c>
      <c r="E1010">
        <v>0</v>
      </c>
      <c r="F1010">
        <v>0</v>
      </c>
      <c r="G1010">
        <v>1693.53</v>
      </c>
    </row>
    <row r="1011" spans="1:7" x14ac:dyDescent="0.2">
      <c r="A1011" t="s">
        <v>744</v>
      </c>
      <c r="B1011" t="s">
        <v>378</v>
      </c>
      <c r="C1011">
        <v>96201.53</v>
      </c>
      <c r="D1011">
        <v>94782.39</v>
      </c>
      <c r="E1011">
        <v>0</v>
      </c>
      <c r="F1011">
        <v>0</v>
      </c>
      <c r="G1011">
        <v>1419.14</v>
      </c>
    </row>
    <row r="1012" spans="1:7" x14ac:dyDescent="0.2">
      <c r="A1012" t="s">
        <v>1691</v>
      </c>
      <c r="B1012" t="s">
        <v>1692</v>
      </c>
      <c r="C1012">
        <v>53049.9</v>
      </c>
      <c r="D1012">
        <v>47930.11</v>
      </c>
      <c r="E1012">
        <v>536.35</v>
      </c>
      <c r="F1012">
        <v>0</v>
      </c>
      <c r="G1012">
        <v>4583.4399999999996</v>
      </c>
    </row>
    <row r="1013" spans="1:7" x14ac:dyDescent="0.2">
      <c r="A1013" t="s">
        <v>459</v>
      </c>
      <c r="B1013" t="s">
        <v>423</v>
      </c>
      <c r="C1013">
        <v>108181.86</v>
      </c>
      <c r="D1013">
        <v>108181.86</v>
      </c>
      <c r="E1013">
        <v>0</v>
      </c>
      <c r="F1013">
        <v>0</v>
      </c>
      <c r="G1013">
        <v>0</v>
      </c>
    </row>
    <row r="1014" spans="1:7" x14ac:dyDescent="0.2">
      <c r="A1014" t="s">
        <v>515</v>
      </c>
      <c r="B1014" t="s">
        <v>404</v>
      </c>
      <c r="C1014">
        <v>105467.27</v>
      </c>
      <c r="D1014">
        <v>104536.27</v>
      </c>
      <c r="E1014">
        <v>0</v>
      </c>
      <c r="F1014">
        <v>0</v>
      </c>
      <c r="G1014">
        <v>931</v>
      </c>
    </row>
    <row r="1015" spans="1:7" x14ac:dyDescent="0.2">
      <c r="A1015" t="s">
        <v>357</v>
      </c>
      <c r="B1015" t="s">
        <v>358</v>
      </c>
      <c r="C1015">
        <v>116457</v>
      </c>
      <c r="D1015">
        <v>112199.92</v>
      </c>
      <c r="E1015">
        <v>0</v>
      </c>
      <c r="F1015">
        <v>0</v>
      </c>
      <c r="G1015">
        <v>4257.08</v>
      </c>
    </row>
    <row r="1016" spans="1:7" x14ac:dyDescent="0.2">
      <c r="A1016" t="s">
        <v>189</v>
      </c>
      <c r="B1016" t="s">
        <v>106</v>
      </c>
      <c r="C1016">
        <v>137085.22</v>
      </c>
      <c r="D1016">
        <v>137085.22</v>
      </c>
      <c r="E1016">
        <v>0</v>
      </c>
      <c r="F1016">
        <v>0</v>
      </c>
      <c r="G1016">
        <v>0</v>
      </c>
    </row>
    <row r="1017" spans="1:7" x14ac:dyDescent="0.2">
      <c r="A1017" t="s">
        <v>1198</v>
      </c>
      <c r="B1017" t="s">
        <v>1024</v>
      </c>
      <c r="C1017">
        <v>73791.13</v>
      </c>
      <c r="D1017">
        <v>59186.04</v>
      </c>
      <c r="E1017">
        <v>346.1</v>
      </c>
      <c r="F1017">
        <v>0</v>
      </c>
      <c r="G1017">
        <v>14258.99</v>
      </c>
    </row>
    <row r="1018" spans="1:7" x14ac:dyDescent="0.2">
      <c r="A1018" t="s">
        <v>1339</v>
      </c>
      <c r="B1018" t="s">
        <v>1340</v>
      </c>
      <c r="C1018">
        <v>67505.95</v>
      </c>
      <c r="D1018">
        <v>51729.5</v>
      </c>
      <c r="E1018">
        <v>3605.13</v>
      </c>
      <c r="F1018">
        <v>0</v>
      </c>
      <c r="G1018">
        <v>12171.32</v>
      </c>
    </row>
    <row r="1019" spans="1:7" x14ac:dyDescent="0.2">
      <c r="A1019" t="s">
        <v>697</v>
      </c>
      <c r="B1019" t="s">
        <v>698</v>
      </c>
      <c r="C1019">
        <v>98261.06</v>
      </c>
      <c r="D1019">
        <v>73810.149999999994</v>
      </c>
      <c r="E1019">
        <v>6835.51</v>
      </c>
      <c r="F1019">
        <v>0</v>
      </c>
      <c r="G1019">
        <v>17615.400000000001</v>
      </c>
    </row>
    <row r="1020" spans="1:7" x14ac:dyDescent="0.2">
      <c r="A1020" t="s">
        <v>1675</v>
      </c>
      <c r="B1020" t="s">
        <v>1621</v>
      </c>
      <c r="C1020">
        <v>54036.97</v>
      </c>
      <c r="D1020">
        <v>54036.97</v>
      </c>
      <c r="E1020">
        <v>0</v>
      </c>
      <c r="F1020">
        <v>0</v>
      </c>
      <c r="G1020">
        <v>0</v>
      </c>
    </row>
    <row r="1021" spans="1:7" x14ac:dyDescent="0.2">
      <c r="A1021" t="s">
        <v>1625</v>
      </c>
      <c r="B1021" t="s">
        <v>1266</v>
      </c>
      <c r="C1021">
        <v>55839.33</v>
      </c>
      <c r="D1021">
        <v>51205.64</v>
      </c>
      <c r="E1021">
        <v>1465.79</v>
      </c>
      <c r="F1021">
        <v>0</v>
      </c>
      <c r="G1021">
        <v>3167.9</v>
      </c>
    </row>
    <row r="1022" spans="1:7" x14ac:dyDescent="0.2">
      <c r="A1022" t="s">
        <v>987</v>
      </c>
      <c r="B1022" t="s">
        <v>330</v>
      </c>
      <c r="C1022">
        <v>83076.61</v>
      </c>
      <c r="D1022">
        <v>83076.61</v>
      </c>
      <c r="E1022">
        <v>0</v>
      </c>
      <c r="F1022">
        <v>0</v>
      </c>
      <c r="G1022">
        <v>0</v>
      </c>
    </row>
    <row r="1023" spans="1:7" x14ac:dyDescent="0.2">
      <c r="A1023" t="s">
        <v>991</v>
      </c>
      <c r="B1023" t="s">
        <v>404</v>
      </c>
      <c r="C1023">
        <v>82856.820000000007</v>
      </c>
      <c r="D1023">
        <v>79187.820000000007</v>
      </c>
      <c r="E1023">
        <v>0</v>
      </c>
      <c r="F1023">
        <v>0</v>
      </c>
      <c r="G1023">
        <v>3669</v>
      </c>
    </row>
    <row r="1024" spans="1:7" x14ac:dyDescent="0.2">
      <c r="A1024" t="s">
        <v>642</v>
      </c>
      <c r="B1024" t="s">
        <v>643</v>
      </c>
      <c r="C1024">
        <v>100311.09</v>
      </c>
      <c r="D1024">
        <v>99311.13</v>
      </c>
      <c r="E1024">
        <v>0</v>
      </c>
      <c r="F1024">
        <v>0</v>
      </c>
      <c r="G1024">
        <v>999.96</v>
      </c>
    </row>
    <row r="1025" spans="1:7" x14ac:dyDescent="0.2">
      <c r="A1025" t="s">
        <v>1635</v>
      </c>
      <c r="B1025" t="s">
        <v>378</v>
      </c>
      <c r="C1025">
        <v>55476.67</v>
      </c>
      <c r="D1025">
        <v>55349.67</v>
      </c>
      <c r="E1025">
        <v>0</v>
      </c>
      <c r="F1025">
        <v>0</v>
      </c>
      <c r="G1025">
        <v>127</v>
      </c>
    </row>
    <row r="1026" spans="1:7" x14ac:dyDescent="0.2">
      <c r="A1026" t="s">
        <v>263</v>
      </c>
      <c r="B1026" t="s">
        <v>130</v>
      </c>
      <c r="C1026">
        <v>124990.78</v>
      </c>
      <c r="D1026">
        <v>76677.06</v>
      </c>
      <c r="E1026">
        <v>9685.84</v>
      </c>
      <c r="F1026">
        <v>4593</v>
      </c>
      <c r="G1026">
        <v>34034.879999999997</v>
      </c>
    </row>
    <row r="1027" spans="1:7" x14ac:dyDescent="0.2">
      <c r="A1027" t="s">
        <v>263</v>
      </c>
      <c r="B1027" t="s">
        <v>130</v>
      </c>
      <c r="C1027">
        <v>116986.11</v>
      </c>
      <c r="D1027">
        <v>84763.99</v>
      </c>
      <c r="E1027">
        <v>2110.16</v>
      </c>
      <c r="F1027">
        <v>740</v>
      </c>
      <c r="G1027">
        <v>29371.96</v>
      </c>
    </row>
    <row r="1028" spans="1:7" x14ac:dyDescent="0.2">
      <c r="A1028" t="s">
        <v>1451</v>
      </c>
      <c r="B1028" t="s">
        <v>1319</v>
      </c>
      <c r="C1028">
        <v>63574.18</v>
      </c>
      <c r="D1028">
        <v>54268.39</v>
      </c>
      <c r="E1028">
        <v>1.1100000000000001</v>
      </c>
      <c r="F1028">
        <v>0</v>
      </c>
      <c r="G1028">
        <v>9304.68</v>
      </c>
    </row>
    <row r="1029" spans="1:7" x14ac:dyDescent="0.2">
      <c r="A1029" t="s">
        <v>1469</v>
      </c>
      <c r="B1029" t="s">
        <v>1470</v>
      </c>
      <c r="C1029">
        <v>62778.34</v>
      </c>
      <c r="D1029">
        <v>61788.34</v>
      </c>
      <c r="E1029">
        <v>990</v>
      </c>
      <c r="F1029">
        <v>0</v>
      </c>
      <c r="G1029">
        <v>0</v>
      </c>
    </row>
    <row r="1030" spans="1:7" x14ac:dyDescent="0.2">
      <c r="A1030" t="s">
        <v>1084</v>
      </c>
      <c r="B1030" t="s">
        <v>1085</v>
      </c>
      <c r="C1030">
        <v>78780.41</v>
      </c>
      <c r="D1030">
        <v>78780.41</v>
      </c>
      <c r="E1030">
        <v>0</v>
      </c>
      <c r="F1030">
        <v>0</v>
      </c>
      <c r="G1030">
        <v>0</v>
      </c>
    </row>
    <row r="1031" spans="1:7" x14ac:dyDescent="0.2">
      <c r="A1031" t="s">
        <v>114</v>
      </c>
      <c r="B1031" t="s">
        <v>32</v>
      </c>
      <c r="C1031">
        <v>159539.47</v>
      </c>
      <c r="D1031">
        <v>130867.29</v>
      </c>
      <c r="E1031">
        <v>14343.97</v>
      </c>
      <c r="F1031">
        <v>0</v>
      </c>
      <c r="G1031">
        <v>14328.21</v>
      </c>
    </row>
    <row r="1032" spans="1:7" x14ac:dyDescent="0.2">
      <c r="A1032" t="s">
        <v>257</v>
      </c>
      <c r="B1032" t="s">
        <v>130</v>
      </c>
      <c r="C1032">
        <v>125458.69</v>
      </c>
      <c r="D1032">
        <v>80845.47</v>
      </c>
      <c r="E1032">
        <v>11728.85</v>
      </c>
      <c r="F1032">
        <v>654</v>
      </c>
      <c r="G1032">
        <v>32230.37</v>
      </c>
    </row>
    <row r="1033" spans="1:7" x14ac:dyDescent="0.2">
      <c r="A1033" t="s">
        <v>1729</v>
      </c>
      <c r="B1033" t="s">
        <v>1617</v>
      </c>
      <c r="C1033">
        <v>50648.76</v>
      </c>
      <c r="D1033">
        <v>49177.77</v>
      </c>
      <c r="E1033">
        <v>1470.99</v>
      </c>
      <c r="F1033">
        <v>0</v>
      </c>
      <c r="G1033">
        <v>0</v>
      </c>
    </row>
    <row r="1034" spans="1:7" x14ac:dyDescent="0.2">
      <c r="A1034" t="s">
        <v>840</v>
      </c>
      <c r="B1034" t="s">
        <v>330</v>
      </c>
      <c r="C1034">
        <v>92293.14</v>
      </c>
      <c r="D1034">
        <v>91524</v>
      </c>
      <c r="E1034">
        <v>0</v>
      </c>
      <c r="F1034">
        <v>0</v>
      </c>
      <c r="G1034">
        <v>769.14</v>
      </c>
    </row>
    <row r="1035" spans="1:7" x14ac:dyDescent="0.2">
      <c r="A1035" t="s">
        <v>1385</v>
      </c>
      <c r="B1035" t="s">
        <v>378</v>
      </c>
      <c r="C1035">
        <v>66132.91</v>
      </c>
      <c r="D1035">
        <v>61490.83</v>
      </c>
      <c r="E1035">
        <v>0</v>
      </c>
      <c r="F1035">
        <v>0</v>
      </c>
      <c r="G1035">
        <v>4642.08</v>
      </c>
    </row>
    <row r="1036" spans="1:7" x14ac:dyDescent="0.2">
      <c r="A1036" t="s">
        <v>753</v>
      </c>
      <c r="B1036" t="s">
        <v>404</v>
      </c>
      <c r="C1036">
        <v>95828.47</v>
      </c>
      <c r="D1036">
        <v>93246.720000000001</v>
      </c>
      <c r="E1036">
        <v>0</v>
      </c>
      <c r="F1036">
        <v>0</v>
      </c>
      <c r="G1036">
        <v>2581.75</v>
      </c>
    </row>
    <row r="1037" spans="1:7" x14ac:dyDescent="0.2">
      <c r="A1037" t="s">
        <v>898</v>
      </c>
      <c r="B1037" t="s">
        <v>899</v>
      </c>
      <c r="C1037">
        <v>88956.42</v>
      </c>
      <c r="D1037">
        <v>86503.74</v>
      </c>
      <c r="E1037">
        <v>0</v>
      </c>
      <c r="F1037">
        <v>0</v>
      </c>
      <c r="G1037">
        <v>2452.6799999999998</v>
      </c>
    </row>
    <row r="1038" spans="1:7" x14ac:dyDescent="0.2">
      <c r="A1038" t="s">
        <v>755</v>
      </c>
      <c r="B1038" t="s">
        <v>756</v>
      </c>
      <c r="C1038">
        <v>95748.44</v>
      </c>
      <c r="D1038">
        <v>58305.57</v>
      </c>
      <c r="E1038">
        <v>25921.53</v>
      </c>
      <c r="F1038">
        <v>0</v>
      </c>
      <c r="G1038">
        <v>11521.34</v>
      </c>
    </row>
    <row r="1039" spans="1:7" x14ac:dyDescent="0.2">
      <c r="A1039" t="s">
        <v>1224</v>
      </c>
      <c r="B1039" t="s">
        <v>1225</v>
      </c>
      <c r="C1039">
        <v>72280.429999999993</v>
      </c>
      <c r="D1039">
        <v>65809.279999999999</v>
      </c>
      <c r="E1039">
        <v>2872.9</v>
      </c>
      <c r="F1039">
        <v>0</v>
      </c>
      <c r="G1039">
        <v>3598.25</v>
      </c>
    </row>
    <row r="1040" spans="1:7" x14ac:dyDescent="0.2">
      <c r="A1040" t="s">
        <v>424</v>
      </c>
      <c r="B1040" t="s">
        <v>130</v>
      </c>
      <c r="C1040">
        <v>110270.99</v>
      </c>
      <c r="D1040">
        <v>80080.17</v>
      </c>
      <c r="E1040">
        <v>0</v>
      </c>
      <c r="F1040">
        <v>0</v>
      </c>
      <c r="G1040">
        <v>30190.82</v>
      </c>
    </row>
    <row r="1041" spans="1:7" x14ac:dyDescent="0.2">
      <c r="A1041" t="s">
        <v>372</v>
      </c>
      <c r="B1041" t="s">
        <v>293</v>
      </c>
      <c r="C1041">
        <v>114080.66</v>
      </c>
      <c r="D1041">
        <v>112117.8</v>
      </c>
      <c r="E1041">
        <v>0</v>
      </c>
      <c r="F1041">
        <v>0</v>
      </c>
      <c r="G1041">
        <v>1962.86</v>
      </c>
    </row>
    <row r="1042" spans="1:7" x14ac:dyDescent="0.2">
      <c r="A1042" t="s">
        <v>1376</v>
      </c>
      <c r="B1042" t="s">
        <v>433</v>
      </c>
      <c r="C1042">
        <v>66284.350000000006</v>
      </c>
      <c r="D1042">
        <v>65455.35</v>
      </c>
      <c r="E1042">
        <v>0</v>
      </c>
      <c r="F1042">
        <v>0</v>
      </c>
      <c r="G1042">
        <v>829</v>
      </c>
    </row>
    <row r="1043" spans="1:7" x14ac:dyDescent="0.2">
      <c r="A1043" t="s">
        <v>822</v>
      </c>
      <c r="B1043" t="s">
        <v>823</v>
      </c>
      <c r="C1043">
        <v>93068.27</v>
      </c>
      <c r="D1043">
        <v>46918.12</v>
      </c>
      <c r="E1043">
        <v>31885.38</v>
      </c>
      <c r="F1043">
        <v>0</v>
      </c>
      <c r="G1043">
        <v>14264.77</v>
      </c>
    </row>
    <row r="1044" spans="1:7" x14ac:dyDescent="0.2">
      <c r="A1044" t="s">
        <v>826</v>
      </c>
      <c r="B1044" t="s">
        <v>378</v>
      </c>
      <c r="C1044">
        <v>92932.41</v>
      </c>
      <c r="D1044">
        <v>92017.29</v>
      </c>
      <c r="E1044">
        <v>0</v>
      </c>
      <c r="F1044">
        <v>0</v>
      </c>
      <c r="G1044">
        <v>915.12</v>
      </c>
    </row>
    <row r="1045" spans="1:7" x14ac:dyDescent="0.2">
      <c r="A1045" t="s">
        <v>151</v>
      </c>
      <c r="B1045" t="s">
        <v>152</v>
      </c>
      <c r="C1045">
        <v>146784.46</v>
      </c>
      <c r="D1045">
        <v>142584.5</v>
      </c>
      <c r="E1045">
        <v>0</v>
      </c>
      <c r="F1045">
        <v>0</v>
      </c>
      <c r="G1045">
        <v>4199.96</v>
      </c>
    </row>
    <row r="1046" spans="1:7" x14ac:dyDescent="0.2">
      <c r="A1046" t="s">
        <v>450</v>
      </c>
      <c r="B1046" t="s">
        <v>24</v>
      </c>
      <c r="C1046">
        <v>108449.34</v>
      </c>
      <c r="D1046">
        <v>68216.37</v>
      </c>
      <c r="E1046">
        <v>25433.68</v>
      </c>
      <c r="F1046">
        <v>7817.25</v>
      </c>
      <c r="G1046">
        <v>6982.04</v>
      </c>
    </row>
    <row r="1047" spans="1:7" x14ac:dyDescent="0.2">
      <c r="A1047" t="s">
        <v>1147</v>
      </c>
      <c r="B1047" t="s">
        <v>1148</v>
      </c>
      <c r="C1047">
        <v>76656.89</v>
      </c>
      <c r="D1047">
        <v>76456.89</v>
      </c>
      <c r="E1047">
        <v>0</v>
      </c>
      <c r="F1047">
        <v>0</v>
      </c>
      <c r="G1047">
        <v>200</v>
      </c>
    </row>
    <row r="1048" spans="1:7" x14ac:dyDescent="0.2">
      <c r="A1048" t="s">
        <v>590</v>
      </c>
      <c r="B1048" t="s">
        <v>448</v>
      </c>
      <c r="C1048">
        <v>102496.92</v>
      </c>
      <c r="D1048">
        <v>100527.78</v>
      </c>
      <c r="E1048">
        <v>0</v>
      </c>
      <c r="F1048">
        <v>0</v>
      </c>
      <c r="G1048">
        <v>1969.14</v>
      </c>
    </row>
    <row r="1049" spans="1:7" x14ac:dyDescent="0.2">
      <c r="A1049" t="s">
        <v>97</v>
      </c>
      <c r="B1049" t="s">
        <v>24</v>
      </c>
      <c r="C1049">
        <v>171561.54</v>
      </c>
      <c r="D1049">
        <v>80966.77</v>
      </c>
      <c r="E1049">
        <v>31936.97</v>
      </c>
      <c r="F1049">
        <v>52148</v>
      </c>
      <c r="G1049">
        <v>6509.8</v>
      </c>
    </row>
    <row r="1050" spans="1:7" x14ac:dyDescent="0.2">
      <c r="A1050" t="s">
        <v>869</v>
      </c>
      <c r="B1050" t="s">
        <v>404</v>
      </c>
      <c r="C1050">
        <v>91015.98</v>
      </c>
      <c r="D1050">
        <v>88787.82</v>
      </c>
      <c r="E1050">
        <v>0</v>
      </c>
      <c r="F1050">
        <v>0</v>
      </c>
      <c r="G1050">
        <v>2228.16</v>
      </c>
    </row>
    <row r="1051" spans="1:7" x14ac:dyDescent="0.2">
      <c r="A1051" t="s">
        <v>1025</v>
      </c>
      <c r="B1051" t="s">
        <v>687</v>
      </c>
      <c r="C1051">
        <v>81128.95</v>
      </c>
      <c r="D1051">
        <v>63576.53</v>
      </c>
      <c r="E1051">
        <v>473.7</v>
      </c>
      <c r="F1051">
        <v>0</v>
      </c>
      <c r="G1051">
        <v>17078.72</v>
      </c>
    </row>
    <row r="1052" spans="1:7" x14ac:dyDescent="0.2">
      <c r="A1052" t="s">
        <v>1628</v>
      </c>
      <c r="B1052" t="s">
        <v>1613</v>
      </c>
      <c r="C1052">
        <v>55735</v>
      </c>
      <c r="D1052">
        <v>55735</v>
      </c>
      <c r="E1052">
        <v>0</v>
      </c>
      <c r="F1052">
        <v>0</v>
      </c>
      <c r="G1052">
        <v>0</v>
      </c>
    </row>
    <row r="1053" spans="1:7" x14ac:dyDescent="0.2">
      <c r="A1053" t="s">
        <v>970</v>
      </c>
      <c r="B1053" t="s">
        <v>404</v>
      </c>
      <c r="C1053">
        <v>84683.51</v>
      </c>
      <c r="D1053">
        <v>83138.009999999995</v>
      </c>
      <c r="E1053">
        <v>0</v>
      </c>
      <c r="F1053">
        <v>0</v>
      </c>
      <c r="G1053">
        <v>1545.5</v>
      </c>
    </row>
    <row r="1054" spans="1:7" x14ac:dyDescent="0.2">
      <c r="A1054" t="s">
        <v>739</v>
      </c>
      <c r="B1054" t="s">
        <v>330</v>
      </c>
      <c r="C1054">
        <v>96485.19</v>
      </c>
      <c r="D1054">
        <v>94611.03</v>
      </c>
      <c r="E1054">
        <v>0</v>
      </c>
      <c r="F1054">
        <v>0</v>
      </c>
      <c r="G1054">
        <v>1874.16</v>
      </c>
    </row>
    <row r="1055" spans="1:7" x14ac:dyDescent="0.2">
      <c r="A1055" t="s">
        <v>440</v>
      </c>
      <c r="B1055" t="s">
        <v>317</v>
      </c>
      <c r="C1055">
        <v>109204.62</v>
      </c>
      <c r="D1055">
        <v>59864.800000000003</v>
      </c>
      <c r="E1055">
        <v>34054.86</v>
      </c>
      <c r="F1055">
        <v>0</v>
      </c>
      <c r="G1055">
        <v>15284.96</v>
      </c>
    </row>
    <row r="1056" spans="1:7" x14ac:dyDescent="0.2">
      <c r="A1056" t="s">
        <v>173</v>
      </c>
      <c r="B1056" t="s">
        <v>69</v>
      </c>
      <c r="C1056">
        <v>141599.62</v>
      </c>
      <c r="D1056">
        <v>81026.990000000005</v>
      </c>
      <c r="E1056">
        <v>24338.95</v>
      </c>
      <c r="F1056">
        <v>0</v>
      </c>
      <c r="G1056">
        <v>36233.68</v>
      </c>
    </row>
    <row r="1057" spans="1:7" x14ac:dyDescent="0.2">
      <c r="A1057" t="s">
        <v>757</v>
      </c>
      <c r="B1057" t="s">
        <v>404</v>
      </c>
      <c r="C1057">
        <v>95623.51</v>
      </c>
      <c r="D1057">
        <v>94482.51</v>
      </c>
      <c r="E1057">
        <v>0</v>
      </c>
      <c r="F1057">
        <v>0</v>
      </c>
      <c r="G1057">
        <v>1141</v>
      </c>
    </row>
    <row r="1058" spans="1:7" x14ac:dyDescent="0.2">
      <c r="A1058" t="s">
        <v>1366</v>
      </c>
      <c r="B1058" t="s">
        <v>1367</v>
      </c>
      <c r="C1058">
        <v>66570.44</v>
      </c>
      <c r="D1058">
        <v>65570.44</v>
      </c>
      <c r="E1058">
        <v>0</v>
      </c>
      <c r="F1058">
        <v>0</v>
      </c>
      <c r="G1058">
        <v>1000</v>
      </c>
    </row>
    <row r="1059" spans="1:7" x14ac:dyDescent="0.2">
      <c r="A1059" t="s">
        <v>1641</v>
      </c>
      <c r="B1059" t="s">
        <v>378</v>
      </c>
      <c r="C1059">
        <v>55349.67</v>
      </c>
      <c r="D1059">
        <v>55349.67</v>
      </c>
      <c r="E1059">
        <v>0</v>
      </c>
      <c r="F1059">
        <v>0</v>
      </c>
      <c r="G1059">
        <v>0</v>
      </c>
    </row>
    <row r="1060" spans="1:7" x14ac:dyDescent="0.2">
      <c r="A1060" t="s">
        <v>498</v>
      </c>
      <c r="B1060" t="s">
        <v>404</v>
      </c>
      <c r="C1060">
        <v>106100.4</v>
      </c>
      <c r="D1060">
        <v>104040.87</v>
      </c>
      <c r="E1060">
        <v>0</v>
      </c>
      <c r="F1060">
        <v>0</v>
      </c>
      <c r="G1060">
        <v>2059.5300000000002</v>
      </c>
    </row>
    <row r="1061" spans="1:7" x14ac:dyDescent="0.2">
      <c r="A1061" t="s">
        <v>735</v>
      </c>
      <c r="B1061" t="s">
        <v>378</v>
      </c>
      <c r="C1061">
        <v>96624.01</v>
      </c>
      <c r="D1061">
        <v>95795.01</v>
      </c>
      <c r="E1061">
        <v>0</v>
      </c>
      <c r="F1061">
        <v>0</v>
      </c>
      <c r="G1061">
        <v>829</v>
      </c>
    </row>
    <row r="1062" spans="1:7" x14ac:dyDescent="0.2">
      <c r="A1062" t="s">
        <v>940</v>
      </c>
      <c r="B1062" t="s">
        <v>941</v>
      </c>
      <c r="C1062">
        <v>86700.12</v>
      </c>
      <c r="D1062">
        <v>86700.12</v>
      </c>
      <c r="E1062">
        <v>0</v>
      </c>
      <c r="F1062">
        <v>0</v>
      </c>
      <c r="G1062">
        <v>0</v>
      </c>
    </row>
    <row r="1063" spans="1:7" x14ac:dyDescent="0.2">
      <c r="A1063" t="s">
        <v>229</v>
      </c>
      <c r="B1063" t="s">
        <v>24</v>
      </c>
      <c r="C1063">
        <v>129956.85</v>
      </c>
      <c r="D1063">
        <v>72804.320000000007</v>
      </c>
      <c r="E1063">
        <v>1721.81</v>
      </c>
      <c r="F1063">
        <v>48135.5</v>
      </c>
      <c r="G1063">
        <v>7295.22</v>
      </c>
    </row>
    <row r="1064" spans="1:7" x14ac:dyDescent="0.2">
      <c r="A1064" t="s">
        <v>1484</v>
      </c>
      <c r="B1064" t="s">
        <v>1266</v>
      </c>
      <c r="C1064">
        <v>61966.95</v>
      </c>
      <c r="D1064">
        <v>52764.22</v>
      </c>
      <c r="E1064">
        <v>3725.99</v>
      </c>
      <c r="F1064">
        <v>0</v>
      </c>
      <c r="G1064">
        <v>5476.74</v>
      </c>
    </row>
    <row r="1065" spans="1:7" x14ac:dyDescent="0.2">
      <c r="A1065" t="s">
        <v>244</v>
      </c>
      <c r="B1065" t="s">
        <v>245</v>
      </c>
      <c r="C1065">
        <v>127303.95</v>
      </c>
      <c r="D1065">
        <v>127303.95</v>
      </c>
      <c r="E1065">
        <v>0</v>
      </c>
      <c r="F1065">
        <v>0</v>
      </c>
      <c r="G1065">
        <v>0</v>
      </c>
    </row>
    <row r="1066" spans="1:7" x14ac:dyDescent="0.2">
      <c r="A1066" t="s">
        <v>373</v>
      </c>
      <c r="B1066" t="s">
        <v>24</v>
      </c>
      <c r="C1066">
        <v>114055</v>
      </c>
      <c r="D1066">
        <v>68870.929999999993</v>
      </c>
      <c r="E1066">
        <v>38125.82</v>
      </c>
      <c r="F1066">
        <v>960</v>
      </c>
      <c r="G1066">
        <v>6098.25</v>
      </c>
    </row>
    <row r="1067" spans="1:7" x14ac:dyDescent="0.2">
      <c r="A1067" t="s">
        <v>630</v>
      </c>
      <c r="B1067" t="s">
        <v>631</v>
      </c>
      <c r="C1067">
        <v>100753.72</v>
      </c>
      <c r="D1067">
        <v>100608.03</v>
      </c>
      <c r="E1067">
        <v>0</v>
      </c>
      <c r="F1067">
        <v>0</v>
      </c>
      <c r="G1067">
        <v>145.69</v>
      </c>
    </row>
    <row r="1068" spans="1:7" x14ac:dyDescent="0.2">
      <c r="A1068" t="s">
        <v>1342</v>
      </c>
      <c r="B1068" t="s">
        <v>378</v>
      </c>
      <c r="C1068">
        <v>67403.37</v>
      </c>
      <c r="D1068">
        <v>66403.37</v>
      </c>
      <c r="E1068">
        <v>0</v>
      </c>
      <c r="F1068">
        <v>0</v>
      </c>
      <c r="G1068">
        <v>1000</v>
      </c>
    </row>
    <row r="1069" spans="1:7" x14ac:dyDescent="0.2">
      <c r="A1069" t="s">
        <v>457</v>
      </c>
      <c r="B1069" t="s">
        <v>458</v>
      </c>
      <c r="C1069">
        <v>108207.3</v>
      </c>
      <c r="D1069">
        <v>107141.06</v>
      </c>
      <c r="E1069">
        <v>0</v>
      </c>
      <c r="F1069">
        <v>0</v>
      </c>
      <c r="G1069">
        <v>1066.24</v>
      </c>
    </row>
    <row r="1070" spans="1:7" x14ac:dyDescent="0.2">
      <c r="A1070" t="s">
        <v>1229</v>
      </c>
      <c r="B1070" t="s">
        <v>330</v>
      </c>
      <c r="C1070">
        <v>72192.12</v>
      </c>
      <c r="D1070">
        <v>72192.12</v>
      </c>
      <c r="E1070">
        <v>0</v>
      </c>
      <c r="F1070">
        <v>0</v>
      </c>
      <c r="G1070">
        <v>0</v>
      </c>
    </row>
    <row r="1071" spans="1:7" x14ac:dyDescent="0.2">
      <c r="A1071" t="s">
        <v>1009</v>
      </c>
      <c r="B1071" t="s">
        <v>1010</v>
      </c>
      <c r="C1071">
        <v>81962.850000000006</v>
      </c>
      <c r="D1071">
        <v>81962.850000000006</v>
      </c>
      <c r="E1071">
        <v>0</v>
      </c>
      <c r="F1071">
        <v>0</v>
      </c>
      <c r="G1071">
        <v>0</v>
      </c>
    </row>
    <row r="1072" spans="1:7" x14ac:dyDescent="0.2">
      <c r="A1072" t="s">
        <v>23</v>
      </c>
      <c r="B1072" t="s">
        <v>24</v>
      </c>
      <c r="C1072">
        <v>334221.42</v>
      </c>
      <c r="D1072">
        <v>86858.72</v>
      </c>
      <c r="E1072">
        <v>103431.6</v>
      </c>
      <c r="F1072">
        <v>130822.22</v>
      </c>
      <c r="G1072">
        <v>13108.88</v>
      </c>
    </row>
    <row r="1073" spans="1:7" x14ac:dyDescent="0.2">
      <c r="A1073" t="s">
        <v>23</v>
      </c>
      <c r="B1073" t="s">
        <v>448</v>
      </c>
      <c r="C1073">
        <v>106362.6</v>
      </c>
      <c r="D1073">
        <v>102560.07</v>
      </c>
      <c r="E1073">
        <v>0</v>
      </c>
      <c r="F1073">
        <v>0</v>
      </c>
      <c r="G1073">
        <v>3802.53</v>
      </c>
    </row>
    <row r="1074" spans="1:7" x14ac:dyDescent="0.2">
      <c r="A1074" t="s">
        <v>23</v>
      </c>
      <c r="B1074" t="s">
        <v>1324</v>
      </c>
      <c r="C1074">
        <v>68207.42</v>
      </c>
      <c r="D1074">
        <v>66207.42</v>
      </c>
      <c r="E1074">
        <v>0</v>
      </c>
      <c r="F1074">
        <v>0</v>
      </c>
      <c r="G1074">
        <v>2000</v>
      </c>
    </row>
    <row r="1075" spans="1:7" x14ac:dyDescent="0.2">
      <c r="A1075" t="s">
        <v>23</v>
      </c>
      <c r="B1075" t="s">
        <v>631</v>
      </c>
      <c r="C1075">
        <v>65714.25</v>
      </c>
      <c r="D1075">
        <v>64284.55</v>
      </c>
      <c r="E1075">
        <v>0</v>
      </c>
      <c r="F1075">
        <v>0</v>
      </c>
      <c r="G1075">
        <v>1429.7</v>
      </c>
    </row>
    <row r="1076" spans="1:7" x14ac:dyDescent="0.2">
      <c r="A1076" t="s">
        <v>23</v>
      </c>
      <c r="B1076" t="s">
        <v>1621</v>
      </c>
      <c r="C1076">
        <v>52729.55</v>
      </c>
      <c r="D1076">
        <v>52729.55</v>
      </c>
      <c r="E1076">
        <v>0</v>
      </c>
      <c r="F1076">
        <v>0</v>
      </c>
      <c r="G1076">
        <v>0</v>
      </c>
    </row>
    <row r="1077" spans="1:7" x14ac:dyDescent="0.2">
      <c r="A1077" t="s">
        <v>237</v>
      </c>
      <c r="B1077" t="s">
        <v>24</v>
      </c>
      <c r="C1077">
        <v>129119.14</v>
      </c>
      <c r="D1077">
        <v>79961.210000000006</v>
      </c>
      <c r="E1077">
        <v>14112.53</v>
      </c>
      <c r="F1077">
        <v>28880</v>
      </c>
      <c r="G1077">
        <v>6165.4</v>
      </c>
    </row>
    <row r="1078" spans="1:7" x14ac:dyDescent="0.2">
      <c r="A1078" t="s">
        <v>485</v>
      </c>
      <c r="B1078" t="s">
        <v>404</v>
      </c>
      <c r="C1078">
        <v>106563.34</v>
      </c>
      <c r="D1078">
        <v>103077.81</v>
      </c>
      <c r="E1078">
        <v>0</v>
      </c>
      <c r="F1078">
        <v>0</v>
      </c>
      <c r="G1078">
        <v>3485.53</v>
      </c>
    </row>
    <row r="1079" spans="1:7" x14ac:dyDescent="0.2">
      <c r="A1079" t="s">
        <v>85</v>
      </c>
      <c r="B1079" t="s">
        <v>34</v>
      </c>
      <c r="C1079">
        <v>180744.8</v>
      </c>
      <c r="D1079">
        <v>109861.46</v>
      </c>
      <c r="E1079">
        <v>57659.18</v>
      </c>
      <c r="F1079">
        <v>737</v>
      </c>
      <c r="G1079">
        <v>12487.16</v>
      </c>
    </row>
    <row r="1080" spans="1:7" x14ac:dyDescent="0.2">
      <c r="A1080" t="s">
        <v>331</v>
      </c>
      <c r="B1080" t="s">
        <v>265</v>
      </c>
      <c r="C1080">
        <v>119291.01</v>
      </c>
      <c r="D1080">
        <v>112812.99</v>
      </c>
      <c r="E1080">
        <v>0</v>
      </c>
      <c r="F1080">
        <v>0</v>
      </c>
      <c r="G1080">
        <v>6478.02</v>
      </c>
    </row>
    <row r="1081" spans="1:7" x14ac:dyDescent="0.2">
      <c r="A1081" t="s">
        <v>1078</v>
      </c>
      <c r="B1081" t="s">
        <v>378</v>
      </c>
      <c r="C1081">
        <v>79021.100000000006</v>
      </c>
      <c r="D1081">
        <v>77282.100000000006</v>
      </c>
      <c r="E1081">
        <v>0</v>
      </c>
      <c r="F1081">
        <v>0</v>
      </c>
      <c r="G1081">
        <v>1739</v>
      </c>
    </row>
    <row r="1082" spans="1:7" x14ac:dyDescent="0.2">
      <c r="A1082" t="s">
        <v>1626</v>
      </c>
      <c r="B1082" t="s">
        <v>1357</v>
      </c>
      <c r="C1082">
        <v>55786.81</v>
      </c>
      <c r="D1082">
        <v>49768.18</v>
      </c>
      <c r="E1082">
        <v>145.74</v>
      </c>
      <c r="F1082">
        <v>0</v>
      </c>
      <c r="G1082">
        <v>5872.89</v>
      </c>
    </row>
    <row r="1083" spans="1:7" x14ac:dyDescent="0.2">
      <c r="A1083" t="s">
        <v>289</v>
      </c>
      <c r="B1083" t="s">
        <v>130</v>
      </c>
      <c r="C1083">
        <v>122223.49</v>
      </c>
      <c r="D1083">
        <v>78734.990000000005</v>
      </c>
      <c r="E1083">
        <v>10810.22</v>
      </c>
      <c r="F1083">
        <v>1142.5</v>
      </c>
      <c r="G1083">
        <v>31535.78</v>
      </c>
    </row>
    <row r="1084" spans="1:7" x14ac:dyDescent="0.2">
      <c r="A1084" t="s">
        <v>1597</v>
      </c>
      <c r="B1084" t="s">
        <v>1028</v>
      </c>
      <c r="C1084">
        <v>57720.13</v>
      </c>
      <c r="D1084">
        <v>51843.65</v>
      </c>
      <c r="E1084">
        <v>216.77</v>
      </c>
      <c r="F1084">
        <v>1342.21</v>
      </c>
      <c r="G1084">
        <v>4317.5</v>
      </c>
    </row>
    <row r="1085" spans="1:7" x14ac:dyDescent="0.2">
      <c r="A1085" t="s">
        <v>1677</v>
      </c>
      <c r="B1085" t="s">
        <v>404</v>
      </c>
      <c r="C1085">
        <v>53962.55</v>
      </c>
      <c r="D1085">
        <v>53594.55</v>
      </c>
      <c r="E1085">
        <v>0</v>
      </c>
      <c r="F1085">
        <v>0</v>
      </c>
      <c r="G1085">
        <v>368</v>
      </c>
    </row>
    <row r="1086" spans="1:7" x14ac:dyDescent="0.2">
      <c r="A1086" t="s">
        <v>94</v>
      </c>
      <c r="B1086" t="s">
        <v>24</v>
      </c>
      <c r="C1086">
        <v>174132.25</v>
      </c>
      <c r="D1086">
        <v>60298.33</v>
      </c>
      <c r="E1086">
        <v>14301.07</v>
      </c>
      <c r="F1086">
        <v>94681.09</v>
      </c>
      <c r="G1086">
        <v>4851.76</v>
      </c>
    </row>
    <row r="1087" spans="1:7" x14ac:dyDescent="0.2">
      <c r="A1087" t="s">
        <v>1530</v>
      </c>
      <c r="B1087" t="s">
        <v>330</v>
      </c>
      <c r="C1087">
        <v>60382.26</v>
      </c>
      <c r="D1087">
        <v>60382.26</v>
      </c>
      <c r="E1087">
        <v>0</v>
      </c>
      <c r="F1087">
        <v>0</v>
      </c>
      <c r="G1087">
        <v>0</v>
      </c>
    </row>
    <row r="1088" spans="1:7" x14ac:dyDescent="0.2">
      <c r="A1088" t="s">
        <v>972</v>
      </c>
      <c r="B1088" t="s">
        <v>973</v>
      </c>
      <c r="C1088">
        <v>84495.26</v>
      </c>
      <c r="D1088">
        <v>84170.26</v>
      </c>
      <c r="E1088">
        <v>0</v>
      </c>
      <c r="F1088">
        <v>0</v>
      </c>
      <c r="G1088">
        <v>325</v>
      </c>
    </row>
    <row r="1089" spans="1:7" x14ac:dyDescent="0.2">
      <c r="A1089" t="s">
        <v>117</v>
      </c>
      <c r="B1089" t="s">
        <v>65</v>
      </c>
      <c r="C1089">
        <v>156533.18</v>
      </c>
      <c r="D1089">
        <v>95503.89</v>
      </c>
      <c r="E1089">
        <v>22846.799999999999</v>
      </c>
      <c r="F1089">
        <v>320</v>
      </c>
      <c r="G1089">
        <v>37862.49</v>
      </c>
    </row>
    <row r="1090" spans="1:7" x14ac:dyDescent="0.2">
      <c r="A1090" t="s">
        <v>828</v>
      </c>
      <c r="B1090" t="s">
        <v>701</v>
      </c>
      <c r="C1090">
        <v>92714.53</v>
      </c>
      <c r="D1090">
        <v>73609.77</v>
      </c>
      <c r="E1090">
        <v>5565.78</v>
      </c>
      <c r="F1090">
        <v>0</v>
      </c>
      <c r="G1090">
        <v>13538.98</v>
      </c>
    </row>
    <row r="1091" spans="1:7" x14ac:dyDescent="0.2">
      <c r="A1091" t="s">
        <v>650</v>
      </c>
      <c r="B1091" t="s">
        <v>24</v>
      </c>
      <c r="C1091">
        <v>100146.65</v>
      </c>
      <c r="D1091">
        <v>68114.52</v>
      </c>
      <c r="E1091">
        <v>8597.73</v>
      </c>
      <c r="F1091">
        <v>17874</v>
      </c>
      <c r="G1091">
        <v>5560.4</v>
      </c>
    </row>
    <row r="1092" spans="1:7" x14ac:dyDescent="0.2">
      <c r="A1092" t="s">
        <v>207</v>
      </c>
      <c r="B1092" t="s">
        <v>208</v>
      </c>
      <c r="C1092">
        <v>133416.79999999999</v>
      </c>
      <c r="D1092">
        <v>132414.82</v>
      </c>
      <c r="E1092">
        <v>0</v>
      </c>
      <c r="F1092">
        <v>0</v>
      </c>
      <c r="G1092">
        <v>1001.98</v>
      </c>
    </row>
    <row r="1093" spans="1:7" x14ac:dyDescent="0.2">
      <c r="A1093" t="s">
        <v>1118</v>
      </c>
      <c r="B1093" t="s">
        <v>1024</v>
      </c>
      <c r="C1093">
        <v>77517.240000000005</v>
      </c>
      <c r="D1093">
        <v>59186.01</v>
      </c>
      <c r="E1093">
        <v>6765.13</v>
      </c>
      <c r="F1093">
        <v>0</v>
      </c>
      <c r="G1093">
        <v>11566.1</v>
      </c>
    </row>
    <row r="1094" spans="1:7" x14ac:dyDescent="0.2">
      <c r="A1094" t="s">
        <v>876</v>
      </c>
      <c r="B1094" t="s">
        <v>830</v>
      </c>
      <c r="C1094">
        <v>90437.68</v>
      </c>
      <c r="D1094">
        <v>90437.68</v>
      </c>
      <c r="E1094">
        <v>0</v>
      </c>
      <c r="F1094">
        <v>0</v>
      </c>
      <c r="G1094">
        <v>0</v>
      </c>
    </row>
    <row r="1095" spans="1:7" x14ac:dyDescent="0.2">
      <c r="A1095" t="s">
        <v>848</v>
      </c>
      <c r="B1095" t="s">
        <v>433</v>
      </c>
      <c r="C1095">
        <v>91892.49</v>
      </c>
      <c r="D1095">
        <v>80992.53</v>
      </c>
      <c r="E1095">
        <v>0</v>
      </c>
      <c r="F1095">
        <v>0</v>
      </c>
      <c r="G1095">
        <v>10899.96</v>
      </c>
    </row>
    <row r="1096" spans="1:7" x14ac:dyDescent="0.2">
      <c r="A1096" t="s">
        <v>609</v>
      </c>
      <c r="B1096" t="s">
        <v>378</v>
      </c>
      <c r="C1096">
        <v>101778.12</v>
      </c>
      <c r="D1096">
        <v>100852.98</v>
      </c>
      <c r="E1096">
        <v>0</v>
      </c>
      <c r="F1096">
        <v>0</v>
      </c>
      <c r="G1096">
        <v>925.14</v>
      </c>
    </row>
    <row r="1097" spans="1:7" x14ac:dyDescent="0.2">
      <c r="A1097" t="s">
        <v>618</v>
      </c>
      <c r="B1097" t="s">
        <v>380</v>
      </c>
      <c r="C1097">
        <v>101326</v>
      </c>
      <c r="D1097">
        <v>54467.34</v>
      </c>
      <c r="E1097">
        <v>40336.559999999998</v>
      </c>
      <c r="F1097">
        <v>0</v>
      </c>
      <c r="G1097">
        <v>6522.1</v>
      </c>
    </row>
    <row r="1098" spans="1:7" x14ac:dyDescent="0.2">
      <c r="A1098" t="s">
        <v>288</v>
      </c>
      <c r="B1098" t="s">
        <v>24</v>
      </c>
      <c r="C1098">
        <v>122241.94</v>
      </c>
      <c r="D1098">
        <v>71888.36</v>
      </c>
      <c r="E1098">
        <v>21252.1</v>
      </c>
      <c r="F1098">
        <v>23510</v>
      </c>
      <c r="G1098">
        <v>5591.48</v>
      </c>
    </row>
    <row r="1099" spans="1:7" x14ac:dyDescent="0.2">
      <c r="A1099" t="s">
        <v>522</v>
      </c>
      <c r="B1099" t="s">
        <v>378</v>
      </c>
      <c r="C1099">
        <v>105219.44</v>
      </c>
      <c r="D1099">
        <v>98881.41</v>
      </c>
      <c r="E1099">
        <v>0</v>
      </c>
      <c r="F1099">
        <v>0</v>
      </c>
      <c r="G1099">
        <v>6338.03</v>
      </c>
    </row>
    <row r="1100" spans="1:7" x14ac:dyDescent="0.2">
      <c r="A1100" t="s">
        <v>796</v>
      </c>
      <c r="B1100" t="s">
        <v>797</v>
      </c>
      <c r="C1100">
        <v>94151.57</v>
      </c>
      <c r="D1100">
        <v>90151.57</v>
      </c>
      <c r="E1100">
        <v>0</v>
      </c>
      <c r="F1100">
        <v>0</v>
      </c>
      <c r="G1100">
        <v>4000</v>
      </c>
    </row>
    <row r="1101" spans="1:7" x14ac:dyDescent="0.2">
      <c r="A1101" t="s">
        <v>329</v>
      </c>
      <c r="B1101" t="s">
        <v>330</v>
      </c>
      <c r="C1101">
        <v>119513.47</v>
      </c>
      <c r="D1101">
        <v>105069.31</v>
      </c>
      <c r="E1101">
        <v>0</v>
      </c>
      <c r="F1101">
        <v>0</v>
      </c>
      <c r="G1101">
        <v>14444.16</v>
      </c>
    </row>
    <row r="1102" spans="1:7" x14ac:dyDescent="0.2">
      <c r="A1102" t="s">
        <v>886</v>
      </c>
      <c r="B1102" t="s">
        <v>887</v>
      </c>
      <c r="C1102">
        <v>89566.01</v>
      </c>
      <c r="D1102">
        <v>89320.01</v>
      </c>
      <c r="E1102">
        <v>0</v>
      </c>
      <c r="F1102">
        <v>0</v>
      </c>
      <c r="G1102">
        <v>246</v>
      </c>
    </row>
    <row r="1103" spans="1:7" x14ac:dyDescent="0.2">
      <c r="A1103" t="s">
        <v>997</v>
      </c>
      <c r="B1103" t="s">
        <v>998</v>
      </c>
      <c r="C1103">
        <v>82759.149999999994</v>
      </c>
      <c r="D1103">
        <v>82759.149999999994</v>
      </c>
      <c r="E1103">
        <v>0</v>
      </c>
      <c r="F1103">
        <v>0</v>
      </c>
      <c r="G1103">
        <v>0</v>
      </c>
    </row>
    <row r="1104" spans="1:7" x14ac:dyDescent="0.2">
      <c r="A1104" t="s">
        <v>667</v>
      </c>
      <c r="B1104" t="s">
        <v>648</v>
      </c>
      <c r="C1104">
        <v>99434.39</v>
      </c>
      <c r="D1104">
        <v>94491.99</v>
      </c>
      <c r="E1104">
        <v>0</v>
      </c>
      <c r="F1104">
        <v>0</v>
      </c>
      <c r="G1104">
        <v>4942.3999999999996</v>
      </c>
    </row>
    <row r="1105" spans="1:7" x14ac:dyDescent="0.2">
      <c r="A1105" t="s">
        <v>1174</v>
      </c>
      <c r="B1105" t="s">
        <v>731</v>
      </c>
      <c r="C1105">
        <v>75652.91</v>
      </c>
      <c r="D1105">
        <v>48655.71</v>
      </c>
      <c r="E1105">
        <v>12932.51</v>
      </c>
      <c r="F1105">
        <v>0</v>
      </c>
      <c r="G1105">
        <v>14064.69</v>
      </c>
    </row>
    <row r="1106" spans="1:7" x14ac:dyDescent="0.2">
      <c r="A1106" t="s">
        <v>1294</v>
      </c>
      <c r="B1106" t="s">
        <v>1254</v>
      </c>
      <c r="C1106">
        <v>69483.820000000007</v>
      </c>
      <c r="D1106">
        <v>57578.16</v>
      </c>
      <c r="E1106">
        <v>2018.9</v>
      </c>
      <c r="F1106">
        <v>0</v>
      </c>
      <c r="G1106">
        <v>9886.76</v>
      </c>
    </row>
    <row r="1107" spans="1:7" x14ac:dyDescent="0.2">
      <c r="A1107" t="s">
        <v>1106</v>
      </c>
      <c r="B1107" t="s">
        <v>1107</v>
      </c>
      <c r="C1107">
        <v>77901.240000000005</v>
      </c>
      <c r="D1107">
        <v>63930.52</v>
      </c>
      <c r="E1107">
        <v>13120.72</v>
      </c>
      <c r="F1107">
        <v>0</v>
      </c>
      <c r="G1107">
        <v>850</v>
      </c>
    </row>
    <row r="1108" spans="1:7" x14ac:dyDescent="0.2">
      <c r="A1108" t="s">
        <v>104</v>
      </c>
      <c r="B1108" t="s">
        <v>69</v>
      </c>
      <c r="C1108">
        <v>166466.12</v>
      </c>
      <c r="D1108">
        <v>83099.59</v>
      </c>
      <c r="E1108">
        <v>51496.53</v>
      </c>
      <c r="F1108">
        <v>0</v>
      </c>
      <c r="G1108">
        <v>31870</v>
      </c>
    </row>
    <row r="1109" spans="1:7" x14ac:dyDescent="0.2">
      <c r="A1109" t="s">
        <v>612</v>
      </c>
      <c r="B1109" t="s">
        <v>378</v>
      </c>
      <c r="C1109">
        <v>101665.29</v>
      </c>
      <c r="D1109">
        <v>99791.13</v>
      </c>
      <c r="E1109">
        <v>0</v>
      </c>
      <c r="F1109">
        <v>0</v>
      </c>
      <c r="G1109">
        <v>1874.16</v>
      </c>
    </row>
    <row r="1110" spans="1:7" x14ac:dyDescent="0.2">
      <c r="A1110" t="s">
        <v>1328</v>
      </c>
      <c r="B1110" t="s">
        <v>687</v>
      </c>
      <c r="C1110">
        <v>67942.91</v>
      </c>
      <c r="D1110">
        <v>55355.98</v>
      </c>
      <c r="E1110">
        <v>43.27</v>
      </c>
      <c r="F1110">
        <v>0</v>
      </c>
      <c r="G1110">
        <v>12543.66</v>
      </c>
    </row>
    <row r="1111" spans="1:7" x14ac:dyDescent="0.2">
      <c r="A1111" t="s">
        <v>1154</v>
      </c>
      <c r="B1111" t="s">
        <v>378</v>
      </c>
      <c r="C1111">
        <v>76466.06</v>
      </c>
      <c r="D1111">
        <v>75154.06</v>
      </c>
      <c r="E1111">
        <v>0</v>
      </c>
      <c r="F1111">
        <v>0</v>
      </c>
      <c r="G1111">
        <v>1312</v>
      </c>
    </row>
    <row r="1112" spans="1:7" x14ac:dyDescent="0.2">
      <c r="A1112" t="s">
        <v>678</v>
      </c>
      <c r="B1112" t="s">
        <v>378</v>
      </c>
      <c r="C1112">
        <v>99003.4</v>
      </c>
      <c r="D1112">
        <v>97067.4</v>
      </c>
      <c r="E1112">
        <v>0</v>
      </c>
      <c r="F1112">
        <v>0</v>
      </c>
      <c r="G1112">
        <v>1936</v>
      </c>
    </row>
    <row r="1113" spans="1:7" x14ac:dyDescent="0.2">
      <c r="A1113" t="s">
        <v>1269</v>
      </c>
      <c r="B1113" t="s">
        <v>1120</v>
      </c>
      <c r="C1113">
        <v>70341.91</v>
      </c>
      <c r="D1113">
        <v>60113.62</v>
      </c>
      <c r="E1113">
        <v>2907.29</v>
      </c>
      <c r="F1113">
        <v>2446.7399999999998</v>
      </c>
      <c r="G1113">
        <v>4874.26</v>
      </c>
    </row>
    <row r="1114" spans="1:7" x14ac:dyDescent="0.2">
      <c r="A1114" t="s">
        <v>1611</v>
      </c>
      <c r="B1114" t="s">
        <v>1558</v>
      </c>
      <c r="C1114">
        <v>56832.13</v>
      </c>
      <c r="D1114">
        <v>55753.79</v>
      </c>
      <c r="E1114">
        <v>0</v>
      </c>
      <c r="F1114">
        <v>0</v>
      </c>
      <c r="G1114">
        <v>1078.3399999999999</v>
      </c>
    </row>
    <row r="1115" spans="1:7" x14ac:dyDescent="0.2">
      <c r="A1115" t="s">
        <v>561</v>
      </c>
      <c r="B1115" t="s">
        <v>448</v>
      </c>
      <c r="C1115">
        <v>104001.06</v>
      </c>
      <c r="D1115">
        <v>102126.9</v>
      </c>
      <c r="E1115">
        <v>0</v>
      </c>
      <c r="F1115">
        <v>0</v>
      </c>
      <c r="G1115">
        <v>1874.16</v>
      </c>
    </row>
    <row r="1116" spans="1:7" x14ac:dyDescent="0.2">
      <c r="A1116" t="s">
        <v>1723</v>
      </c>
      <c r="B1116" t="s">
        <v>1724</v>
      </c>
      <c r="C1116">
        <v>50909.77</v>
      </c>
      <c r="D1116">
        <v>41620.879999999997</v>
      </c>
      <c r="E1116">
        <v>1323.56</v>
      </c>
      <c r="F1116">
        <v>0</v>
      </c>
      <c r="G1116">
        <v>7965.33</v>
      </c>
    </row>
    <row r="1117" spans="1:7" x14ac:dyDescent="0.2">
      <c r="A1117" t="s">
        <v>1300</v>
      </c>
      <c r="B1117" t="s">
        <v>378</v>
      </c>
      <c r="C1117">
        <v>69132.22</v>
      </c>
      <c r="D1117">
        <v>67733.22</v>
      </c>
      <c r="E1117">
        <v>0</v>
      </c>
      <c r="F1117">
        <v>0</v>
      </c>
      <c r="G1117">
        <v>1399</v>
      </c>
    </row>
    <row r="1118" spans="1:7" x14ac:dyDescent="0.2">
      <c r="A1118" t="s">
        <v>734</v>
      </c>
      <c r="B1118" t="s">
        <v>404</v>
      </c>
      <c r="C1118">
        <v>96625.95</v>
      </c>
      <c r="D1118">
        <v>94932.42</v>
      </c>
      <c r="E1118">
        <v>0</v>
      </c>
      <c r="F1118">
        <v>0</v>
      </c>
      <c r="G1118">
        <v>1693.53</v>
      </c>
    </row>
    <row r="1119" spans="1:7" x14ac:dyDescent="0.2">
      <c r="A1119" t="s">
        <v>1665</v>
      </c>
      <c r="B1119" t="s">
        <v>1666</v>
      </c>
      <c r="C1119">
        <v>54325.07</v>
      </c>
      <c r="D1119">
        <v>42424.38</v>
      </c>
      <c r="E1119">
        <v>1420.69</v>
      </c>
      <c r="F1119">
        <v>0</v>
      </c>
      <c r="G1119">
        <v>10480</v>
      </c>
    </row>
    <row r="1120" spans="1:7" x14ac:dyDescent="0.2">
      <c r="A1120" t="s">
        <v>837</v>
      </c>
      <c r="B1120" t="s">
        <v>648</v>
      </c>
      <c r="C1120">
        <v>92582.43</v>
      </c>
      <c r="D1120">
        <v>92582.43</v>
      </c>
      <c r="E1120">
        <v>0</v>
      </c>
      <c r="F1120">
        <v>0</v>
      </c>
      <c r="G1120">
        <v>0</v>
      </c>
    </row>
    <row r="1121" spans="1:7" x14ac:dyDescent="0.2">
      <c r="A1121" t="s">
        <v>1069</v>
      </c>
      <c r="B1121" t="s">
        <v>648</v>
      </c>
      <c r="C1121">
        <v>79349.83</v>
      </c>
      <c r="D1121">
        <v>77069.88</v>
      </c>
      <c r="E1121">
        <v>0</v>
      </c>
      <c r="F1121">
        <v>0</v>
      </c>
      <c r="G1121">
        <v>2279.9499999999998</v>
      </c>
    </row>
    <row r="1122" spans="1:7" x14ac:dyDescent="0.2">
      <c r="A1122" t="s">
        <v>1253</v>
      </c>
      <c r="B1122" t="s">
        <v>1254</v>
      </c>
      <c r="C1122">
        <v>70975.360000000001</v>
      </c>
      <c r="D1122">
        <v>60342.43</v>
      </c>
      <c r="E1122">
        <v>6.15</v>
      </c>
      <c r="F1122">
        <v>0</v>
      </c>
      <c r="G1122">
        <v>10626.78</v>
      </c>
    </row>
    <row r="1123" spans="1:7" x14ac:dyDescent="0.2">
      <c r="A1123" t="s">
        <v>210</v>
      </c>
      <c r="B1123" t="s">
        <v>211</v>
      </c>
      <c r="C1123">
        <v>133113.13</v>
      </c>
      <c r="D1123">
        <v>87580.71</v>
      </c>
      <c r="E1123">
        <v>9540.2800000000007</v>
      </c>
      <c r="F1123">
        <v>276</v>
      </c>
      <c r="G1123">
        <v>35716.14</v>
      </c>
    </row>
    <row r="1124" spans="1:7" x14ac:dyDescent="0.2">
      <c r="A1124" t="s">
        <v>1245</v>
      </c>
      <c r="B1124" t="s">
        <v>330</v>
      </c>
      <c r="C1124">
        <v>71244.179999999993</v>
      </c>
      <c r="D1124">
        <v>71244.179999999993</v>
      </c>
      <c r="E1124">
        <v>0</v>
      </c>
      <c r="F1124">
        <v>0</v>
      </c>
      <c r="G1124">
        <v>0</v>
      </c>
    </row>
    <row r="1125" spans="1:7" x14ac:dyDescent="0.2">
      <c r="A1125" t="s">
        <v>1178</v>
      </c>
      <c r="B1125" t="s">
        <v>404</v>
      </c>
      <c r="C1125">
        <v>75367.06</v>
      </c>
      <c r="D1125">
        <v>72784.740000000005</v>
      </c>
      <c r="E1125">
        <v>0</v>
      </c>
      <c r="F1125">
        <v>0</v>
      </c>
      <c r="G1125">
        <v>2582.3200000000002</v>
      </c>
    </row>
    <row r="1126" spans="1:7" x14ac:dyDescent="0.2">
      <c r="A1126" t="s">
        <v>402</v>
      </c>
      <c r="B1126" t="s">
        <v>24</v>
      </c>
      <c r="C1126">
        <v>111246.05</v>
      </c>
      <c r="D1126">
        <v>72334.009999999995</v>
      </c>
      <c r="E1126">
        <v>19727.060000000001</v>
      </c>
      <c r="F1126">
        <v>13618.5</v>
      </c>
      <c r="G1126">
        <v>5566.48</v>
      </c>
    </row>
    <row r="1127" spans="1:7" x14ac:dyDescent="0.2">
      <c r="A1127" t="s">
        <v>371</v>
      </c>
      <c r="B1127" t="s">
        <v>130</v>
      </c>
      <c r="C1127">
        <v>114097.47</v>
      </c>
      <c r="D1127">
        <v>81178.66</v>
      </c>
      <c r="E1127">
        <v>961.07</v>
      </c>
      <c r="F1127">
        <v>1242</v>
      </c>
      <c r="G1127">
        <v>30715.74</v>
      </c>
    </row>
    <row r="1128" spans="1:7" x14ac:dyDescent="0.2">
      <c r="A1128" t="s">
        <v>81</v>
      </c>
      <c r="B1128" t="s">
        <v>32</v>
      </c>
      <c r="C1128">
        <v>181449.67</v>
      </c>
      <c r="D1128">
        <v>129686.26</v>
      </c>
      <c r="E1128">
        <v>11199.77</v>
      </c>
      <c r="F1128">
        <v>29295.5</v>
      </c>
      <c r="G1128">
        <v>11268.14</v>
      </c>
    </row>
    <row r="1129" spans="1:7" x14ac:dyDescent="0.2">
      <c r="A1129" t="s">
        <v>109</v>
      </c>
      <c r="B1129" t="s">
        <v>32</v>
      </c>
      <c r="C1129">
        <v>162122.97</v>
      </c>
      <c r="D1129">
        <v>133995.19</v>
      </c>
      <c r="E1129">
        <v>7458.87</v>
      </c>
      <c r="F1129">
        <v>4611</v>
      </c>
      <c r="G1129">
        <v>16057.91</v>
      </c>
    </row>
    <row r="1130" spans="1:7" x14ac:dyDescent="0.2">
      <c r="A1130" t="s">
        <v>1427</v>
      </c>
      <c r="B1130" t="s">
        <v>1428</v>
      </c>
      <c r="C1130">
        <v>64574.74</v>
      </c>
      <c r="D1130">
        <v>64214.74</v>
      </c>
      <c r="E1130">
        <v>0</v>
      </c>
      <c r="F1130">
        <v>0</v>
      </c>
      <c r="G1130">
        <v>360</v>
      </c>
    </row>
    <row r="1131" spans="1:7" x14ac:dyDescent="0.2">
      <c r="A1131" t="s">
        <v>1321</v>
      </c>
      <c r="B1131" t="s">
        <v>1287</v>
      </c>
      <c r="C1131">
        <v>68326.87</v>
      </c>
      <c r="D1131">
        <v>65359.05</v>
      </c>
      <c r="E1131">
        <v>0</v>
      </c>
      <c r="F1131">
        <v>0</v>
      </c>
      <c r="G1131">
        <v>2967.82</v>
      </c>
    </row>
    <row r="1132" spans="1:7" x14ac:dyDescent="0.2">
      <c r="A1132" t="s">
        <v>1503</v>
      </c>
      <c r="B1132" t="s">
        <v>330</v>
      </c>
      <c r="C1132">
        <v>61634.01</v>
      </c>
      <c r="D1132">
        <v>57443.01</v>
      </c>
      <c r="E1132">
        <v>0</v>
      </c>
      <c r="F1132">
        <v>0</v>
      </c>
      <c r="G1132">
        <v>4191</v>
      </c>
    </row>
    <row r="1133" spans="1:7" x14ac:dyDescent="0.2">
      <c r="A1133" t="s">
        <v>702</v>
      </c>
      <c r="B1133" t="s">
        <v>378</v>
      </c>
      <c r="C1133">
        <v>98217.39</v>
      </c>
      <c r="D1133">
        <v>97901.29</v>
      </c>
      <c r="E1133">
        <v>0</v>
      </c>
      <c r="F1133">
        <v>0</v>
      </c>
      <c r="G1133">
        <v>316.10000000000002</v>
      </c>
    </row>
    <row r="1134" spans="1:7" x14ac:dyDescent="0.2">
      <c r="A1134" t="s">
        <v>1459</v>
      </c>
      <c r="B1134" t="s">
        <v>1134</v>
      </c>
      <c r="C1134">
        <v>63250.59</v>
      </c>
      <c r="D1134">
        <v>50261.27</v>
      </c>
      <c r="E1134">
        <v>3760.88</v>
      </c>
      <c r="F1134">
        <v>0</v>
      </c>
      <c r="G1134">
        <v>9228.44</v>
      </c>
    </row>
    <row r="1135" spans="1:7" x14ac:dyDescent="0.2">
      <c r="A1135" t="s">
        <v>1421</v>
      </c>
      <c r="B1135" t="s">
        <v>1374</v>
      </c>
      <c r="C1135">
        <v>64814.68</v>
      </c>
      <c r="D1135">
        <v>64284.68</v>
      </c>
      <c r="E1135">
        <v>0</v>
      </c>
      <c r="F1135">
        <v>0</v>
      </c>
      <c r="G1135">
        <v>530</v>
      </c>
    </row>
    <row r="1136" spans="1:7" x14ac:dyDescent="0.2">
      <c r="A1136" t="s">
        <v>1408</v>
      </c>
      <c r="B1136" t="s">
        <v>404</v>
      </c>
      <c r="C1136">
        <v>65259.75</v>
      </c>
      <c r="D1136">
        <v>63700.800000000003</v>
      </c>
      <c r="E1136">
        <v>0</v>
      </c>
      <c r="F1136">
        <v>0</v>
      </c>
      <c r="G1136">
        <v>1558.95</v>
      </c>
    </row>
    <row r="1137" spans="1:7" x14ac:dyDescent="0.2">
      <c r="A1137" t="s">
        <v>1125</v>
      </c>
      <c r="B1137" t="s">
        <v>1126</v>
      </c>
      <c r="C1137">
        <v>77235.59</v>
      </c>
      <c r="D1137">
        <v>77235.59</v>
      </c>
      <c r="E1137">
        <v>0</v>
      </c>
      <c r="F1137">
        <v>0</v>
      </c>
      <c r="G1137">
        <v>0</v>
      </c>
    </row>
    <row r="1138" spans="1:7" x14ac:dyDescent="0.2">
      <c r="A1138" t="s">
        <v>559</v>
      </c>
      <c r="B1138" t="s">
        <v>330</v>
      </c>
      <c r="C1138">
        <v>104061</v>
      </c>
      <c r="D1138">
        <v>102427.86</v>
      </c>
      <c r="E1138">
        <v>0</v>
      </c>
      <c r="F1138">
        <v>0</v>
      </c>
      <c r="G1138">
        <v>1633.14</v>
      </c>
    </row>
    <row r="1139" spans="1:7" x14ac:dyDescent="0.2">
      <c r="A1139" t="s">
        <v>812</v>
      </c>
      <c r="B1139" t="s">
        <v>813</v>
      </c>
      <c r="C1139">
        <v>93399.19</v>
      </c>
      <c r="D1139">
        <v>92891.57</v>
      </c>
      <c r="E1139">
        <v>0</v>
      </c>
      <c r="F1139">
        <v>0</v>
      </c>
      <c r="G1139">
        <v>507.62</v>
      </c>
    </row>
    <row r="1140" spans="1:7" x14ac:dyDescent="0.2">
      <c r="A1140" t="s">
        <v>1268</v>
      </c>
      <c r="B1140" t="s">
        <v>378</v>
      </c>
      <c r="C1140">
        <v>70440.02</v>
      </c>
      <c r="D1140">
        <v>68824.02</v>
      </c>
      <c r="E1140">
        <v>0</v>
      </c>
      <c r="F1140">
        <v>0</v>
      </c>
      <c r="G1140">
        <v>1616</v>
      </c>
    </row>
    <row r="1141" spans="1:7" x14ac:dyDescent="0.2">
      <c r="A1141" t="s">
        <v>508</v>
      </c>
      <c r="B1141" t="s">
        <v>378</v>
      </c>
      <c r="C1141">
        <v>105612.36</v>
      </c>
      <c r="D1141">
        <v>95667.36</v>
      </c>
      <c r="E1141">
        <v>0</v>
      </c>
      <c r="F1141">
        <v>0</v>
      </c>
      <c r="G1141">
        <v>9945</v>
      </c>
    </row>
    <row r="1142" spans="1:7" x14ac:dyDescent="0.2">
      <c r="A1142" t="s">
        <v>1386</v>
      </c>
      <c r="B1142" t="s">
        <v>1384</v>
      </c>
      <c r="C1142">
        <v>66038.710000000006</v>
      </c>
      <c r="D1142">
        <v>45873.29</v>
      </c>
      <c r="E1142">
        <v>9082.2000000000007</v>
      </c>
      <c r="F1142">
        <v>0</v>
      </c>
      <c r="G1142">
        <v>11083.22</v>
      </c>
    </row>
    <row r="1143" spans="1:7" x14ac:dyDescent="0.2">
      <c r="A1143" t="s">
        <v>197</v>
      </c>
      <c r="B1143" t="s">
        <v>130</v>
      </c>
      <c r="C1143">
        <v>135263.76</v>
      </c>
      <c r="D1143">
        <v>84989.31</v>
      </c>
      <c r="E1143">
        <v>15928.86</v>
      </c>
      <c r="F1143">
        <v>1284</v>
      </c>
      <c r="G1143">
        <v>33061.589999999997</v>
      </c>
    </row>
    <row r="1144" spans="1:7" x14ac:dyDescent="0.2">
      <c r="A1144" t="s">
        <v>1657</v>
      </c>
      <c r="B1144" t="s">
        <v>1223</v>
      </c>
      <c r="C1144">
        <v>54833.94</v>
      </c>
      <c r="D1144">
        <v>52455.09</v>
      </c>
      <c r="E1144">
        <v>157.66999999999999</v>
      </c>
      <c r="F1144">
        <v>0</v>
      </c>
      <c r="G1144">
        <v>2221.1799999999998</v>
      </c>
    </row>
    <row r="1145" spans="1:7" x14ac:dyDescent="0.2">
      <c r="A1145" t="s">
        <v>1444</v>
      </c>
      <c r="B1145" t="s">
        <v>1445</v>
      </c>
      <c r="C1145">
        <v>63953.7</v>
      </c>
      <c r="D1145">
        <v>61207.63</v>
      </c>
      <c r="E1145">
        <v>1209.4000000000001</v>
      </c>
      <c r="F1145">
        <v>0</v>
      </c>
      <c r="G1145">
        <v>1536.67</v>
      </c>
    </row>
    <row r="1146" spans="1:7" x14ac:dyDescent="0.2">
      <c r="A1146" t="s">
        <v>345</v>
      </c>
      <c r="B1146" t="s">
        <v>346</v>
      </c>
      <c r="C1146">
        <v>117791.91</v>
      </c>
      <c r="D1146">
        <v>64538.16</v>
      </c>
      <c r="E1146">
        <v>35192.660000000003</v>
      </c>
      <c r="F1146">
        <v>0</v>
      </c>
      <c r="G1146">
        <v>18061.09</v>
      </c>
    </row>
    <row r="1147" spans="1:7" x14ac:dyDescent="0.2">
      <c r="A1147" t="s">
        <v>1326</v>
      </c>
      <c r="B1147" t="s">
        <v>1063</v>
      </c>
      <c r="C1147">
        <v>68063.539999999994</v>
      </c>
      <c r="D1147">
        <v>67640.460000000006</v>
      </c>
      <c r="E1147">
        <v>0</v>
      </c>
      <c r="F1147">
        <v>0</v>
      </c>
      <c r="G1147">
        <v>423.08</v>
      </c>
    </row>
    <row r="1148" spans="1:7" x14ac:dyDescent="0.2">
      <c r="A1148" t="s">
        <v>565</v>
      </c>
      <c r="B1148" t="s">
        <v>404</v>
      </c>
      <c r="C1148">
        <v>103780.57</v>
      </c>
      <c r="D1148">
        <v>99717.81</v>
      </c>
      <c r="E1148">
        <v>0</v>
      </c>
      <c r="F1148">
        <v>0</v>
      </c>
      <c r="G1148">
        <v>4062.76</v>
      </c>
    </row>
    <row r="1149" spans="1:7" x14ac:dyDescent="0.2">
      <c r="A1149" t="s">
        <v>406</v>
      </c>
      <c r="B1149" t="s">
        <v>407</v>
      </c>
      <c r="C1149">
        <v>110911.9</v>
      </c>
      <c r="D1149">
        <v>97840.78</v>
      </c>
      <c r="E1149">
        <v>5.09</v>
      </c>
      <c r="F1149">
        <v>0</v>
      </c>
      <c r="G1149">
        <v>13066.03</v>
      </c>
    </row>
    <row r="1150" spans="1:7" x14ac:dyDescent="0.2">
      <c r="A1150" t="s">
        <v>342</v>
      </c>
      <c r="B1150" t="s">
        <v>130</v>
      </c>
      <c r="C1150">
        <v>118439.91</v>
      </c>
      <c r="D1150">
        <v>76079.66</v>
      </c>
      <c r="E1150">
        <v>13912.36</v>
      </c>
      <c r="F1150">
        <v>1223</v>
      </c>
      <c r="G1150">
        <v>27224.89</v>
      </c>
    </row>
    <row r="1151" spans="1:7" x14ac:dyDescent="0.2">
      <c r="A1151" t="s">
        <v>1512</v>
      </c>
      <c r="B1151" t="s">
        <v>1513</v>
      </c>
      <c r="C1151">
        <v>61244.77</v>
      </c>
      <c r="D1151">
        <v>59244.77</v>
      </c>
      <c r="E1151">
        <v>0</v>
      </c>
      <c r="F1151">
        <v>0</v>
      </c>
      <c r="G1151">
        <v>2000</v>
      </c>
    </row>
    <row r="1152" spans="1:7" x14ac:dyDescent="0.2">
      <c r="A1152" t="s">
        <v>243</v>
      </c>
      <c r="B1152" t="s">
        <v>130</v>
      </c>
      <c r="C1152">
        <v>127771.85</v>
      </c>
      <c r="D1152">
        <v>88134.41</v>
      </c>
      <c r="E1152">
        <v>9030.08</v>
      </c>
      <c r="F1152">
        <v>0</v>
      </c>
      <c r="G1152">
        <v>30607.360000000001</v>
      </c>
    </row>
    <row r="1153" spans="1:7" x14ac:dyDescent="0.2">
      <c r="A1153" t="s">
        <v>386</v>
      </c>
      <c r="B1153" t="s">
        <v>130</v>
      </c>
      <c r="C1153">
        <v>112400.68</v>
      </c>
      <c r="D1153">
        <v>76995.460000000006</v>
      </c>
      <c r="E1153">
        <v>10903.51</v>
      </c>
      <c r="F1153">
        <v>2017</v>
      </c>
      <c r="G1153">
        <v>22484.71</v>
      </c>
    </row>
    <row r="1154" spans="1:7" x14ac:dyDescent="0.2">
      <c r="A1154" t="s">
        <v>496</v>
      </c>
      <c r="B1154" t="s">
        <v>497</v>
      </c>
      <c r="C1154">
        <v>106130.96</v>
      </c>
      <c r="D1154">
        <v>74215.17</v>
      </c>
      <c r="E1154">
        <v>4193.03</v>
      </c>
      <c r="F1154">
        <v>9299</v>
      </c>
      <c r="G1154">
        <v>18423.759999999998</v>
      </c>
    </row>
    <row r="1155" spans="1:7" x14ac:dyDescent="0.2">
      <c r="A1155" t="s">
        <v>831</v>
      </c>
      <c r="B1155" t="s">
        <v>378</v>
      </c>
      <c r="C1155">
        <v>92594.43</v>
      </c>
      <c r="D1155">
        <v>92582.43</v>
      </c>
      <c r="E1155">
        <v>0</v>
      </c>
      <c r="F1155">
        <v>0</v>
      </c>
      <c r="G1155">
        <v>12</v>
      </c>
    </row>
    <row r="1156" spans="1:7" x14ac:dyDescent="0.2">
      <c r="A1156" t="s">
        <v>292</v>
      </c>
      <c r="B1156" t="s">
        <v>293</v>
      </c>
      <c r="C1156">
        <v>122107.52</v>
      </c>
      <c r="D1156">
        <v>108242.78</v>
      </c>
      <c r="E1156">
        <v>0</v>
      </c>
      <c r="F1156">
        <v>0</v>
      </c>
      <c r="G1156">
        <v>13864.74</v>
      </c>
    </row>
    <row r="1157" spans="1:7" x14ac:dyDescent="0.2">
      <c r="A1157" t="s">
        <v>578</v>
      </c>
      <c r="B1157" t="s">
        <v>330</v>
      </c>
      <c r="C1157">
        <v>103029.91</v>
      </c>
      <c r="D1157">
        <v>101259.29</v>
      </c>
      <c r="E1157">
        <v>0</v>
      </c>
      <c r="F1157">
        <v>0</v>
      </c>
      <c r="G1157">
        <v>1770.62</v>
      </c>
    </row>
    <row r="1158" spans="1:7" x14ac:dyDescent="0.2">
      <c r="A1158" t="s">
        <v>711</v>
      </c>
      <c r="B1158" t="s">
        <v>378</v>
      </c>
      <c r="C1158">
        <v>97613.35</v>
      </c>
      <c r="D1158">
        <v>94261.82</v>
      </c>
      <c r="E1158">
        <v>0</v>
      </c>
      <c r="F1158">
        <v>0</v>
      </c>
      <c r="G1158">
        <v>3351.53</v>
      </c>
    </row>
    <row r="1159" spans="1:7" x14ac:dyDescent="0.2">
      <c r="A1159" t="s">
        <v>447</v>
      </c>
      <c r="B1159" t="s">
        <v>448</v>
      </c>
      <c r="C1159">
        <v>108562.22</v>
      </c>
      <c r="D1159">
        <v>101635.86</v>
      </c>
      <c r="E1159">
        <v>0</v>
      </c>
      <c r="F1159">
        <v>0</v>
      </c>
      <c r="G1159">
        <v>6926.36</v>
      </c>
    </row>
    <row r="1160" spans="1:7" x14ac:dyDescent="0.2">
      <c r="A1160" t="s">
        <v>1687</v>
      </c>
      <c r="B1160" t="s">
        <v>1357</v>
      </c>
      <c r="C1160">
        <v>53457.29</v>
      </c>
      <c r="D1160">
        <v>46051.16</v>
      </c>
      <c r="E1160">
        <v>1093.73</v>
      </c>
      <c r="F1160">
        <v>0</v>
      </c>
      <c r="G1160">
        <v>6312.4</v>
      </c>
    </row>
    <row r="1161" spans="1:7" x14ac:dyDescent="0.2">
      <c r="A1161" t="s">
        <v>541</v>
      </c>
      <c r="B1161" t="s">
        <v>542</v>
      </c>
      <c r="C1161">
        <v>104726.43</v>
      </c>
      <c r="D1161">
        <v>94196.73</v>
      </c>
      <c r="E1161">
        <v>0</v>
      </c>
      <c r="F1161">
        <v>0</v>
      </c>
      <c r="G1161">
        <v>10529.7</v>
      </c>
    </row>
    <row r="1162" spans="1:7" x14ac:dyDescent="0.2">
      <c r="A1162" t="s">
        <v>1488</v>
      </c>
      <c r="B1162" t="s">
        <v>713</v>
      </c>
      <c r="C1162">
        <v>61873.91</v>
      </c>
      <c r="D1162">
        <v>57414.59</v>
      </c>
      <c r="E1162">
        <v>0</v>
      </c>
      <c r="F1162">
        <v>0</v>
      </c>
      <c r="G1162">
        <v>4459.32</v>
      </c>
    </row>
    <row r="1163" spans="1:7" x14ac:dyDescent="0.2">
      <c r="A1163" t="s">
        <v>495</v>
      </c>
      <c r="B1163" t="s">
        <v>34</v>
      </c>
      <c r="C1163">
        <v>106149.75999999999</v>
      </c>
      <c r="D1163">
        <v>76866.05</v>
      </c>
      <c r="E1163">
        <v>10243.799999999999</v>
      </c>
      <c r="F1163">
        <v>11314</v>
      </c>
      <c r="G1163">
        <v>7725.91</v>
      </c>
    </row>
    <row r="1164" spans="1:7" x14ac:dyDescent="0.2">
      <c r="A1164" t="s">
        <v>1094</v>
      </c>
      <c r="B1164" t="s">
        <v>1095</v>
      </c>
      <c r="C1164">
        <v>78300.56</v>
      </c>
      <c r="D1164">
        <v>77235.56</v>
      </c>
      <c r="E1164">
        <v>0</v>
      </c>
      <c r="F1164">
        <v>0</v>
      </c>
      <c r="G1164">
        <v>1065</v>
      </c>
    </row>
    <row r="1165" spans="1:7" x14ac:dyDescent="0.2">
      <c r="A1165" t="s">
        <v>825</v>
      </c>
      <c r="B1165" t="s">
        <v>448</v>
      </c>
      <c r="C1165">
        <v>92964.91</v>
      </c>
      <c r="D1165">
        <v>92664.91</v>
      </c>
      <c r="E1165">
        <v>0</v>
      </c>
      <c r="F1165">
        <v>0</v>
      </c>
      <c r="G1165">
        <v>300</v>
      </c>
    </row>
    <row r="1166" spans="1:7" x14ac:dyDescent="0.2">
      <c r="A1166" t="s">
        <v>1417</v>
      </c>
      <c r="B1166" t="s">
        <v>378</v>
      </c>
      <c r="C1166">
        <v>65006.18</v>
      </c>
      <c r="D1166">
        <v>64540.18</v>
      </c>
      <c r="E1166">
        <v>0</v>
      </c>
      <c r="F1166">
        <v>0</v>
      </c>
      <c r="G1166">
        <v>466</v>
      </c>
    </row>
    <row r="1167" spans="1:7" x14ac:dyDescent="0.2">
      <c r="A1167" t="s">
        <v>1631</v>
      </c>
      <c r="B1167" t="s">
        <v>433</v>
      </c>
      <c r="C1167">
        <v>55640.15</v>
      </c>
      <c r="D1167">
        <v>55549.8</v>
      </c>
      <c r="E1167">
        <v>0</v>
      </c>
      <c r="F1167">
        <v>0</v>
      </c>
      <c r="G1167">
        <v>90.35</v>
      </c>
    </row>
    <row r="1168" spans="1:7" x14ac:dyDescent="0.2">
      <c r="A1168" t="s">
        <v>513</v>
      </c>
      <c r="B1168" t="s">
        <v>378</v>
      </c>
      <c r="C1168">
        <v>105475.62</v>
      </c>
      <c r="D1168">
        <v>103656.42</v>
      </c>
      <c r="E1168">
        <v>0</v>
      </c>
      <c r="F1168">
        <v>0</v>
      </c>
      <c r="G1168">
        <v>1819.2</v>
      </c>
    </row>
    <row r="1169" spans="1:7" x14ac:dyDescent="0.2">
      <c r="A1169" t="s">
        <v>484</v>
      </c>
      <c r="B1169" t="s">
        <v>24</v>
      </c>
      <c r="C1169">
        <v>106611.29</v>
      </c>
      <c r="D1169">
        <v>71817.2</v>
      </c>
      <c r="E1169">
        <v>8200.19</v>
      </c>
      <c r="F1169">
        <v>21033.5</v>
      </c>
      <c r="G1169">
        <v>5560.4</v>
      </c>
    </row>
    <row r="1170" spans="1:7" x14ac:dyDescent="0.2">
      <c r="A1170" t="s">
        <v>549</v>
      </c>
      <c r="B1170" t="s">
        <v>378</v>
      </c>
      <c r="C1170">
        <v>104421.36</v>
      </c>
      <c r="D1170">
        <v>102727.83</v>
      </c>
      <c r="E1170">
        <v>0</v>
      </c>
      <c r="F1170">
        <v>0</v>
      </c>
      <c r="G1170">
        <v>1693.53</v>
      </c>
    </row>
    <row r="1171" spans="1:7" x14ac:dyDescent="0.2">
      <c r="A1171" t="s">
        <v>554</v>
      </c>
      <c r="B1171" t="s">
        <v>330</v>
      </c>
      <c r="C1171">
        <v>104143.51</v>
      </c>
      <c r="D1171">
        <v>100917.72</v>
      </c>
      <c r="E1171">
        <v>0</v>
      </c>
      <c r="F1171">
        <v>0</v>
      </c>
      <c r="G1171">
        <v>3225.79</v>
      </c>
    </row>
    <row r="1172" spans="1:7" x14ac:dyDescent="0.2">
      <c r="A1172" t="s">
        <v>523</v>
      </c>
      <c r="B1172" t="s">
        <v>524</v>
      </c>
      <c r="C1172">
        <v>105148.59</v>
      </c>
      <c r="D1172">
        <v>73472.259999999995</v>
      </c>
      <c r="E1172">
        <v>4694.09</v>
      </c>
      <c r="F1172">
        <v>0</v>
      </c>
      <c r="G1172">
        <v>26982.240000000002</v>
      </c>
    </row>
    <row r="1173" spans="1:7" x14ac:dyDescent="0.2">
      <c r="A1173" t="s">
        <v>420</v>
      </c>
      <c r="B1173" t="s">
        <v>421</v>
      </c>
      <c r="C1173">
        <v>110345.7</v>
      </c>
      <c r="D1173">
        <v>110345.7</v>
      </c>
      <c r="E1173">
        <v>0</v>
      </c>
      <c r="F1173">
        <v>0</v>
      </c>
      <c r="G1173">
        <v>0</v>
      </c>
    </row>
    <row r="1174" spans="1:7" x14ac:dyDescent="0.2">
      <c r="A1174" t="s">
        <v>1140</v>
      </c>
      <c r="B1174" t="s">
        <v>404</v>
      </c>
      <c r="C1174">
        <v>76772.3</v>
      </c>
      <c r="D1174">
        <v>75114.3</v>
      </c>
      <c r="E1174">
        <v>0</v>
      </c>
      <c r="F1174">
        <v>0</v>
      </c>
      <c r="G1174">
        <v>1658</v>
      </c>
    </row>
    <row r="1175" spans="1:7" x14ac:dyDescent="0.2">
      <c r="A1175" t="s">
        <v>1277</v>
      </c>
      <c r="B1175" t="s">
        <v>330</v>
      </c>
      <c r="C1175">
        <v>69871.39</v>
      </c>
      <c r="D1175">
        <v>69871.39</v>
      </c>
      <c r="E1175">
        <v>0</v>
      </c>
      <c r="F1175">
        <v>0</v>
      </c>
      <c r="G1175">
        <v>0</v>
      </c>
    </row>
    <row r="1176" spans="1:7" x14ac:dyDescent="0.2">
      <c r="A1176" t="s">
        <v>699</v>
      </c>
      <c r="B1176" t="s">
        <v>330</v>
      </c>
      <c r="C1176">
        <v>98252.9</v>
      </c>
      <c r="D1176">
        <v>97167.4</v>
      </c>
      <c r="E1176">
        <v>0</v>
      </c>
      <c r="F1176">
        <v>0</v>
      </c>
      <c r="G1176">
        <v>1085.5</v>
      </c>
    </row>
    <row r="1177" spans="1:7" x14ac:dyDescent="0.2">
      <c r="A1177" t="s">
        <v>1307</v>
      </c>
      <c r="B1177" t="s">
        <v>1308</v>
      </c>
      <c r="C1177">
        <v>68915.5</v>
      </c>
      <c r="D1177">
        <v>68915.5</v>
      </c>
      <c r="E1177">
        <v>0</v>
      </c>
      <c r="F1177">
        <v>0</v>
      </c>
      <c r="G1177">
        <v>0</v>
      </c>
    </row>
    <row r="1178" spans="1:7" x14ac:dyDescent="0.2">
      <c r="A1178" t="s">
        <v>184</v>
      </c>
      <c r="B1178" t="s">
        <v>106</v>
      </c>
      <c r="C1178">
        <v>138585.22</v>
      </c>
      <c r="D1178">
        <v>138585.22</v>
      </c>
      <c r="E1178">
        <v>0</v>
      </c>
      <c r="F1178">
        <v>0</v>
      </c>
      <c r="G1178">
        <v>0</v>
      </c>
    </row>
    <row r="1179" spans="1:7" x14ac:dyDescent="0.2">
      <c r="A1179" t="s">
        <v>437</v>
      </c>
      <c r="B1179" t="s">
        <v>438</v>
      </c>
      <c r="C1179">
        <v>109283.98</v>
      </c>
      <c r="D1179">
        <v>109283.98</v>
      </c>
      <c r="E1179">
        <v>0</v>
      </c>
      <c r="F1179">
        <v>0</v>
      </c>
      <c r="G1179">
        <v>0</v>
      </c>
    </row>
    <row r="1180" spans="1:7" x14ac:dyDescent="0.2">
      <c r="A1180" t="s">
        <v>89</v>
      </c>
      <c r="B1180" t="s">
        <v>34</v>
      </c>
      <c r="C1180">
        <v>177446.59</v>
      </c>
      <c r="D1180">
        <v>116369.44</v>
      </c>
      <c r="E1180">
        <v>16521.07</v>
      </c>
      <c r="F1180">
        <v>33630.5</v>
      </c>
      <c r="G1180">
        <v>10925.58</v>
      </c>
    </row>
    <row r="1181" spans="1:7" x14ac:dyDescent="0.2">
      <c r="A1181" t="s">
        <v>1347</v>
      </c>
      <c r="B1181" t="s">
        <v>378</v>
      </c>
      <c r="C1181">
        <v>67107.259999999995</v>
      </c>
      <c r="D1181">
        <v>65111.26</v>
      </c>
      <c r="E1181">
        <v>0</v>
      </c>
      <c r="F1181">
        <v>0</v>
      </c>
      <c r="G1181">
        <v>1996</v>
      </c>
    </row>
    <row r="1182" spans="1:7" x14ac:dyDescent="0.2">
      <c r="A1182" t="s">
        <v>313</v>
      </c>
      <c r="B1182" t="s">
        <v>314</v>
      </c>
      <c r="C1182">
        <v>120703.97</v>
      </c>
      <c r="D1182">
        <v>119000.23</v>
      </c>
      <c r="E1182">
        <v>0</v>
      </c>
      <c r="F1182">
        <v>0</v>
      </c>
      <c r="G1182">
        <v>1703.74</v>
      </c>
    </row>
    <row r="1183" spans="1:7" x14ac:dyDescent="0.2">
      <c r="A1183" t="s">
        <v>944</v>
      </c>
      <c r="B1183" t="s">
        <v>687</v>
      </c>
      <c r="C1183">
        <v>86311.9</v>
      </c>
      <c r="D1183">
        <v>55126</v>
      </c>
      <c r="E1183">
        <v>636.70000000000005</v>
      </c>
      <c r="F1183">
        <v>0</v>
      </c>
      <c r="G1183">
        <v>30549.200000000001</v>
      </c>
    </row>
    <row r="1184" spans="1:7" x14ac:dyDescent="0.2">
      <c r="A1184" t="s">
        <v>802</v>
      </c>
      <c r="B1184" t="s">
        <v>378</v>
      </c>
      <c r="C1184">
        <v>94015.86</v>
      </c>
      <c r="D1184">
        <v>93246.720000000001</v>
      </c>
      <c r="E1184">
        <v>0</v>
      </c>
      <c r="F1184">
        <v>0</v>
      </c>
      <c r="G1184">
        <v>769.14</v>
      </c>
    </row>
    <row r="1185" spans="1:7" x14ac:dyDescent="0.2">
      <c r="A1185" t="s">
        <v>781</v>
      </c>
      <c r="B1185" t="s">
        <v>404</v>
      </c>
      <c r="C1185">
        <v>94546.09</v>
      </c>
      <c r="D1185">
        <v>91645.93</v>
      </c>
      <c r="E1185">
        <v>0</v>
      </c>
      <c r="F1185">
        <v>0</v>
      </c>
      <c r="G1185">
        <v>2900.16</v>
      </c>
    </row>
    <row r="1186" spans="1:7" x14ac:dyDescent="0.2">
      <c r="A1186" t="s">
        <v>1476</v>
      </c>
      <c r="B1186" t="s">
        <v>1028</v>
      </c>
      <c r="C1186">
        <v>62339.66</v>
      </c>
      <c r="D1186">
        <v>54135.06</v>
      </c>
      <c r="E1186">
        <v>436.08</v>
      </c>
      <c r="F1186">
        <v>3420.67</v>
      </c>
      <c r="G1186">
        <v>4347.8500000000004</v>
      </c>
    </row>
    <row r="1187" spans="1:7" x14ac:dyDescent="0.2">
      <c r="A1187" t="s">
        <v>632</v>
      </c>
      <c r="B1187" t="s">
        <v>633</v>
      </c>
      <c r="C1187">
        <v>100709.49</v>
      </c>
      <c r="D1187">
        <v>99311.2</v>
      </c>
      <c r="E1187">
        <v>0</v>
      </c>
      <c r="F1187">
        <v>0</v>
      </c>
      <c r="G1187">
        <v>1398.29</v>
      </c>
    </row>
    <row r="1188" spans="1:7" x14ac:dyDescent="0.2">
      <c r="A1188" t="s">
        <v>98</v>
      </c>
      <c r="B1188" t="s">
        <v>32</v>
      </c>
      <c r="C1188">
        <v>170984.3</v>
      </c>
      <c r="D1188">
        <v>134643.32999999999</v>
      </c>
      <c r="E1188">
        <v>14057.11</v>
      </c>
      <c r="F1188">
        <v>10829</v>
      </c>
      <c r="G1188">
        <v>11454.86</v>
      </c>
    </row>
    <row r="1189" spans="1:7" x14ac:dyDescent="0.2">
      <c r="A1189" t="s">
        <v>538</v>
      </c>
      <c r="B1189" t="s">
        <v>404</v>
      </c>
      <c r="C1189">
        <v>104785.81</v>
      </c>
      <c r="D1189">
        <v>100831.65</v>
      </c>
      <c r="E1189">
        <v>0</v>
      </c>
      <c r="F1189">
        <v>0</v>
      </c>
      <c r="G1189">
        <v>3954.16</v>
      </c>
    </row>
    <row r="1190" spans="1:7" x14ac:dyDescent="0.2">
      <c r="A1190" t="s">
        <v>1065</v>
      </c>
      <c r="B1190" t="s">
        <v>1066</v>
      </c>
      <c r="C1190">
        <v>79367.09</v>
      </c>
      <c r="D1190">
        <v>78780.42</v>
      </c>
      <c r="E1190">
        <v>0</v>
      </c>
      <c r="F1190">
        <v>0</v>
      </c>
      <c r="G1190">
        <v>586.66999999999996</v>
      </c>
    </row>
    <row r="1191" spans="1:7" x14ac:dyDescent="0.2">
      <c r="A1191" t="s">
        <v>1189</v>
      </c>
      <c r="B1191" t="s">
        <v>904</v>
      </c>
      <c r="C1191">
        <v>74740.69</v>
      </c>
      <c r="D1191">
        <v>56764.13</v>
      </c>
      <c r="E1191">
        <v>5871.4</v>
      </c>
      <c r="F1191">
        <v>0</v>
      </c>
      <c r="G1191">
        <v>12105.16</v>
      </c>
    </row>
    <row r="1192" spans="1:7" x14ac:dyDescent="0.2">
      <c r="A1192" t="s">
        <v>75</v>
      </c>
      <c r="B1192" t="s">
        <v>49</v>
      </c>
      <c r="C1192">
        <v>185065.45</v>
      </c>
      <c r="D1192">
        <v>108762.74</v>
      </c>
      <c r="E1192">
        <v>30133.89</v>
      </c>
      <c r="F1192">
        <v>2729</v>
      </c>
      <c r="G1192">
        <v>43439.82</v>
      </c>
    </row>
    <row r="1193" spans="1:7" x14ac:dyDescent="0.2">
      <c r="A1193" t="s">
        <v>1430</v>
      </c>
      <c r="B1193" t="s">
        <v>1431</v>
      </c>
      <c r="C1193">
        <v>64515.03</v>
      </c>
      <c r="D1193">
        <v>64515.03</v>
      </c>
      <c r="E1193">
        <v>0</v>
      </c>
      <c r="F1193">
        <v>0</v>
      </c>
      <c r="G1193">
        <v>0</v>
      </c>
    </row>
    <row r="1194" spans="1:7" x14ac:dyDescent="0.2">
      <c r="A1194" t="s">
        <v>841</v>
      </c>
      <c r="B1194" t="s">
        <v>448</v>
      </c>
      <c r="C1194">
        <v>92280.15</v>
      </c>
      <c r="D1194">
        <v>92280.15</v>
      </c>
      <c r="E1194">
        <v>0</v>
      </c>
      <c r="F1194">
        <v>0</v>
      </c>
      <c r="G1194">
        <v>0</v>
      </c>
    </row>
    <row r="1195" spans="1:7" x14ac:dyDescent="0.2">
      <c r="A1195" t="s">
        <v>1531</v>
      </c>
      <c r="B1195" t="s">
        <v>378</v>
      </c>
      <c r="C1195">
        <v>60318.37</v>
      </c>
      <c r="D1195">
        <v>60318.37</v>
      </c>
      <c r="E1195">
        <v>0</v>
      </c>
      <c r="F1195">
        <v>0</v>
      </c>
      <c r="G1195">
        <v>0</v>
      </c>
    </row>
    <row r="1196" spans="1:7" x14ac:dyDescent="0.2">
      <c r="A1196" t="s">
        <v>1303</v>
      </c>
      <c r="B1196" t="s">
        <v>1304</v>
      </c>
      <c r="C1196">
        <v>68995.19</v>
      </c>
      <c r="D1196">
        <v>56876.13</v>
      </c>
      <c r="E1196">
        <v>761.39</v>
      </c>
      <c r="F1196">
        <v>0</v>
      </c>
      <c r="G1196">
        <v>11357.67</v>
      </c>
    </row>
    <row r="1197" spans="1:7" x14ac:dyDescent="0.2">
      <c r="A1197" t="s">
        <v>1690</v>
      </c>
      <c r="B1197" t="s">
        <v>1357</v>
      </c>
      <c r="C1197">
        <v>53061.89</v>
      </c>
      <c r="D1197">
        <v>48254.32</v>
      </c>
      <c r="E1197">
        <v>137.36000000000001</v>
      </c>
      <c r="F1197">
        <v>0</v>
      </c>
      <c r="G1197">
        <v>4670.21</v>
      </c>
    </row>
    <row r="1198" spans="1:7" x14ac:dyDescent="0.2">
      <c r="A1198" t="s">
        <v>627</v>
      </c>
      <c r="B1198" t="s">
        <v>330</v>
      </c>
      <c r="C1198">
        <v>100870.8</v>
      </c>
      <c r="D1198">
        <v>97517.64</v>
      </c>
      <c r="E1198">
        <v>0</v>
      </c>
      <c r="F1198">
        <v>0</v>
      </c>
      <c r="G1198">
        <v>3353.16</v>
      </c>
    </row>
    <row r="1199" spans="1:7" x14ac:dyDescent="0.2">
      <c r="A1199" t="s">
        <v>29</v>
      </c>
      <c r="B1199" t="s">
        <v>30</v>
      </c>
      <c r="C1199">
        <v>246070.26</v>
      </c>
      <c r="D1199">
        <v>246070.26</v>
      </c>
      <c r="E1199">
        <v>0</v>
      </c>
      <c r="F1199">
        <v>0</v>
      </c>
      <c r="G1199">
        <v>0</v>
      </c>
    </row>
    <row r="1200" spans="1:7" x14ac:dyDescent="0.2">
      <c r="A1200" t="s">
        <v>1122</v>
      </c>
      <c r="B1200" t="s">
        <v>1123</v>
      </c>
      <c r="C1200">
        <v>77235.64</v>
      </c>
      <c r="D1200">
        <v>77235.64</v>
      </c>
      <c r="E1200">
        <v>0</v>
      </c>
      <c r="F1200">
        <v>0</v>
      </c>
      <c r="G1200">
        <v>0</v>
      </c>
    </row>
    <row r="1201" spans="1:7" x14ac:dyDescent="0.2">
      <c r="A1201" t="s">
        <v>1371</v>
      </c>
      <c r="B1201" t="s">
        <v>448</v>
      </c>
      <c r="C1201">
        <v>66382.97</v>
      </c>
      <c r="D1201">
        <v>66082.97</v>
      </c>
      <c r="E1201">
        <v>0</v>
      </c>
      <c r="F1201">
        <v>0</v>
      </c>
      <c r="G1201">
        <v>300</v>
      </c>
    </row>
    <row r="1202" spans="1:7" x14ac:dyDescent="0.2">
      <c r="A1202" t="s">
        <v>59</v>
      </c>
      <c r="B1202" t="s">
        <v>34</v>
      </c>
      <c r="C1202">
        <v>197218.82</v>
      </c>
      <c r="D1202">
        <v>93976.17</v>
      </c>
      <c r="E1202">
        <v>24089.75</v>
      </c>
      <c r="F1202">
        <v>69717.5</v>
      </c>
      <c r="G1202">
        <v>9435.4</v>
      </c>
    </row>
    <row r="1203" spans="1:7" x14ac:dyDescent="0.2">
      <c r="A1203" t="s">
        <v>491</v>
      </c>
      <c r="B1203" t="s">
        <v>492</v>
      </c>
      <c r="C1203">
        <v>106259.01</v>
      </c>
      <c r="D1203">
        <v>80188.759999999995</v>
      </c>
      <c r="E1203">
        <v>13825.06</v>
      </c>
      <c r="F1203">
        <v>0</v>
      </c>
      <c r="G1203">
        <v>12245.19</v>
      </c>
    </row>
    <row r="1204" spans="1:7" x14ac:dyDescent="0.2">
      <c r="A1204" t="s">
        <v>681</v>
      </c>
      <c r="B1204" t="s">
        <v>682</v>
      </c>
      <c r="C1204">
        <v>98935.34</v>
      </c>
      <c r="D1204">
        <v>98348.67</v>
      </c>
      <c r="E1204">
        <v>0</v>
      </c>
      <c r="F1204">
        <v>0</v>
      </c>
      <c r="G1204">
        <v>586.66999999999996</v>
      </c>
    </row>
    <row r="1205" spans="1:7" x14ac:dyDescent="0.2">
      <c r="A1205" t="s">
        <v>511</v>
      </c>
      <c r="B1205" t="s">
        <v>265</v>
      </c>
      <c r="C1205">
        <v>105548.06</v>
      </c>
      <c r="D1205">
        <v>103748.19</v>
      </c>
      <c r="E1205">
        <v>0</v>
      </c>
      <c r="F1205">
        <v>0</v>
      </c>
      <c r="G1205">
        <v>1799.87</v>
      </c>
    </row>
    <row r="1206" spans="1:7" x14ac:dyDescent="0.2">
      <c r="A1206" t="s">
        <v>576</v>
      </c>
      <c r="B1206" t="s">
        <v>433</v>
      </c>
      <c r="C1206">
        <v>103292.55</v>
      </c>
      <c r="D1206">
        <v>101992.55</v>
      </c>
      <c r="E1206">
        <v>0</v>
      </c>
      <c r="F1206">
        <v>0</v>
      </c>
      <c r="G1206">
        <v>1300</v>
      </c>
    </row>
    <row r="1207" spans="1:7" x14ac:dyDescent="0.2">
      <c r="A1207" t="s">
        <v>1329</v>
      </c>
      <c r="B1207" t="s">
        <v>1330</v>
      </c>
      <c r="C1207">
        <v>67808.639999999999</v>
      </c>
      <c r="D1207">
        <v>57389.45</v>
      </c>
      <c r="E1207">
        <v>7172.56</v>
      </c>
      <c r="F1207">
        <v>0</v>
      </c>
      <c r="G1207">
        <v>3246.63</v>
      </c>
    </row>
    <row r="1208" spans="1:7" x14ac:dyDescent="0.2">
      <c r="A1208" t="s">
        <v>770</v>
      </c>
      <c r="B1208" t="s">
        <v>701</v>
      </c>
      <c r="C1208">
        <v>95136.41</v>
      </c>
      <c r="D1208">
        <v>73561.27</v>
      </c>
      <c r="E1208">
        <v>10259.52</v>
      </c>
      <c r="F1208">
        <v>0</v>
      </c>
      <c r="G1208">
        <v>11315.62</v>
      </c>
    </row>
    <row r="1209" spans="1:7" x14ac:dyDescent="0.2">
      <c r="A1209" t="s">
        <v>1697</v>
      </c>
      <c r="B1209" t="s">
        <v>1698</v>
      </c>
      <c r="C1209">
        <v>52862.26</v>
      </c>
      <c r="D1209">
        <v>9040.0300000000007</v>
      </c>
      <c r="E1209">
        <v>3514.52</v>
      </c>
      <c r="F1209">
        <v>0</v>
      </c>
      <c r="G1209">
        <v>40307.71</v>
      </c>
    </row>
    <row r="1210" spans="1:7" x14ac:dyDescent="0.2">
      <c r="A1210" t="s">
        <v>1437</v>
      </c>
      <c r="B1210" t="s">
        <v>378</v>
      </c>
      <c r="C1210">
        <v>64185.18</v>
      </c>
      <c r="D1210">
        <v>62687.56</v>
      </c>
      <c r="E1210">
        <v>0</v>
      </c>
      <c r="F1210">
        <v>0</v>
      </c>
      <c r="G1210">
        <v>1497.62</v>
      </c>
    </row>
    <row r="1211" spans="1:7" x14ac:dyDescent="0.2">
      <c r="A1211" t="s">
        <v>677</v>
      </c>
      <c r="B1211" t="s">
        <v>378</v>
      </c>
      <c r="C1211">
        <v>99019.62</v>
      </c>
      <c r="D1211">
        <v>98250.48</v>
      </c>
      <c r="E1211">
        <v>0</v>
      </c>
      <c r="F1211">
        <v>0</v>
      </c>
      <c r="G1211">
        <v>769.14</v>
      </c>
    </row>
    <row r="1212" spans="1:7" x14ac:dyDescent="0.2">
      <c r="A1212" t="s">
        <v>1242</v>
      </c>
      <c r="B1212" t="s">
        <v>785</v>
      </c>
      <c r="C1212">
        <v>71587.06</v>
      </c>
      <c r="D1212">
        <v>61823.519999999997</v>
      </c>
      <c r="E1212">
        <v>0</v>
      </c>
      <c r="F1212">
        <v>0</v>
      </c>
      <c r="G1212">
        <v>9763.5400000000009</v>
      </c>
    </row>
    <row r="1213" spans="1:7" x14ac:dyDescent="0.2">
      <c r="A1213" t="s">
        <v>1615</v>
      </c>
      <c r="B1213" t="s">
        <v>1134</v>
      </c>
      <c r="C1213">
        <v>56527.77</v>
      </c>
      <c r="D1213">
        <v>45692.03</v>
      </c>
      <c r="E1213">
        <v>1041.93</v>
      </c>
      <c r="F1213">
        <v>0</v>
      </c>
      <c r="G1213">
        <v>9793.81</v>
      </c>
    </row>
    <row r="1214" spans="1:7" x14ac:dyDescent="0.2">
      <c r="A1214" t="s">
        <v>539</v>
      </c>
      <c r="B1214" t="s">
        <v>24</v>
      </c>
      <c r="C1214">
        <v>104785.17</v>
      </c>
      <c r="D1214">
        <v>84742.720000000001</v>
      </c>
      <c r="E1214">
        <v>10566.95</v>
      </c>
      <c r="F1214">
        <v>1436</v>
      </c>
      <c r="G1214">
        <v>8039.5</v>
      </c>
    </row>
    <row r="1215" spans="1:7" x14ac:dyDescent="0.2">
      <c r="A1215" t="s">
        <v>906</v>
      </c>
      <c r="B1215" t="s">
        <v>378</v>
      </c>
      <c r="C1215">
        <v>88704.75</v>
      </c>
      <c r="D1215">
        <v>88704.75</v>
      </c>
      <c r="E1215">
        <v>0</v>
      </c>
      <c r="F1215">
        <v>0</v>
      </c>
      <c r="G1215">
        <v>0</v>
      </c>
    </row>
    <row r="1216" spans="1:7" x14ac:dyDescent="0.2">
      <c r="A1216" t="s">
        <v>600</v>
      </c>
      <c r="B1216" t="s">
        <v>601</v>
      </c>
      <c r="C1216">
        <v>84848.7</v>
      </c>
      <c r="D1216">
        <v>84848.7</v>
      </c>
      <c r="E1216">
        <v>0</v>
      </c>
      <c r="F1216">
        <v>0</v>
      </c>
      <c r="G1216">
        <v>0</v>
      </c>
    </row>
    <row r="1217" spans="1:7" x14ac:dyDescent="0.2">
      <c r="A1217" t="s">
        <v>820</v>
      </c>
      <c r="B1217" t="s">
        <v>821</v>
      </c>
      <c r="C1217">
        <v>93070.09</v>
      </c>
      <c r="D1217">
        <v>91070.09</v>
      </c>
      <c r="E1217">
        <v>0</v>
      </c>
      <c r="F1217">
        <v>0</v>
      </c>
      <c r="G1217">
        <v>2000</v>
      </c>
    </row>
    <row r="1218" spans="1:7" x14ac:dyDescent="0.2">
      <c r="A1218" t="s">
        <v>1696</v>
      </c>
      <c r="B1218" t="s">
        <v>378</v>
      </c>
      <c r="C1218">
        <v>52917.24</v>
      </c>
      <c r="D1218">
        <v>51406.239999999998</v>
      </c>
      <c r="E1218">
        <v>0</v>
      </c>
      <c r="F1218">
        <v>0</v>
      </c>
      <c r="G1218">
        <v>1511</v>
      </c>
    </row>
    <row r="1219" spans="1:7" x14ac:dyDescent="0.2">
      <c r="A1219" t="s">
        <v>610</v>
      </c>
      <c r="B1219" t="s">
        <v>378</v>
      </c>
      <c r="C1219">
        <v>101750.84</v>
      </c>
      <c r="D1219">
        <v>99717.81</v>
      </c>
      <c r="E1219">
        <v>0</v>
      </c>
      <c r="F1219">
        <v>0</v>
      </c>
      <c r="G1219">
        <v>2033.03</v>
      </c>
    </row>
    <row r="1220" spans="1:7" x14ac:dyDescent="0.2">
      <c r="A1220" t="s">
        <v>164</v>
      </c>
      <c r="B1220" t="s">
        <v>106</v>
      </c>
      <c r="C1220">
        <v>143493.6</v>
      </c>
      <c r="D1220">
        <v>141689.64000000001</v>
      </c>
      <c r="E1220">
        <v>0</v>
      </c>
      <c r="F1220">
        <v>0</v>
      </c>
      <c r="G1220">
        <v>1803.96</v>
      </c>
    </row>
    <row r="1221" spans="1:7" x14ac:dyDescent="0.2">
      <c r="A1221" t="s">
        <v>1678</v>
      </c>
      <c r="B1221" t="s">
        <v>1679</v>
      </c>
      <c r="C1221">
        <v>53608.13</v>
      </c>
      <c r="D1221">
        <v>44946.73</v>
      </c>
      <c r="E1221">
        <v>4374.22</v>
      </c>
      <c r="F1221">
        <v>0</v>
      </c>
      <c r="G1221">
        <v>4287.18</v>
      </c>
    </row>
    <row r="1222" spans="1:7" x14ac:dyDescent="0.2">
      <c r="A1222" t="s">
        <v>877</v>
      </c>
      <c r="B1222" t="s">
        <v>404</v>
      </c>
      <c r="C1222">
        <v>90394.02</v>
      </c>
      <c r="D1222">
        <v>76501.87</v>
      </c>
      <c r="E1222">
        <v>0</v>
      </c>
      <c r="F1222">
        <v>0</v>
      </c>
      <c r="G1222">
        <v>13892.15</v>
      </c>
    </row>
    <row r="1223" spans="1:7" x14ac:dyDescent="0.2">
      <c r="A1223" t="s">
        <v>651</v>
      </c>
      <c r="B1223" t="s">
        <v>433</v>
      </c>
      <c r="C1223">
        <v>100107.58</v>
      </c>
      <c r="D1223">
        <v>92582.43</v>
      </c>
      <c r="E1223">
        <v>0</v>
      </c>
      <c r="F1223">
        <v>0</v>
      </c>
      <c r="G1223">
        <v>7525.15</v>
      </c>
    </row>
    <row r="1224" spans="1:7" x14ac:dyDescent="0.2">
      <c r="A1224" t="s">
        <v>550</v>
      </c>
      <c r="B1224" t="s">
        <v>24</v>
      </c>
      <c r="C1224">
        <v>104284.72</v>
      </c>
      <c r="D1224">
        <v>85503.09</v>
      </c>
      <c r="E1224">
        <v>10271.790000000001</v>
      </c>
      <c r="F1224">
        <v>0</v>
      </c>
      <c r="G1224">
        <v>8509.84</v>
      </c>
    </row>
    <row r="1225" spans="1:7" x14ac:dyDescent="0.2">
      <c r="A1225" t="s">
        <v>1434</v>
      </c>
      <c r="B1225" t="s">
        <v>1367</v>
      </c>
      <c r="C1225">
        <v>64284.67</v>
      </c>
      <c r="D1225">
        <v>64284.67</v>
      </c>
      <c r="E1225">
        <v>0</v>
      </c>
      <c r="F1225">
        <v>0</v>
      </c>
      <c r="G1225">
        <v>0</v>
      </c>
    </row>
    <row r="1226" spans="1:7" x14ac:dyDescent="0.2">
      <c r="A1226" t="s">
        <v>587</v>
      </c>
      <c r="B1226" t="s">
        <v>330</v>
      </c>
      <c r="C1226">
        <v>102624.33</v>
      </c>
      <c r="D1226">
        <v>100228.8</v>
      </c>
      <c r="E1226">
        <v>0</v>
      </c>
      <c r="F1226">
        <v>0</v>
      </c>
      <c r="G1226">
        <v>2395.5300000000002</v>
      </c>
    </row>
    <row r="1227" spans="1:7" x14ac:dyDescent="0.2">
      <c r="A1227" t="s">
        <v>1301</v>
      </c>
      <c r="B1227" t="s">
        <v>1302</v>
      </c>
      <c r="C1227">
        <v>69052.91</v>
      </c>
      <c r="D1227">
        <v>68882.12</v>
      </c>
      <c r="E1227">
        <v>0</v>
      </c>
      <c r="F1227">
        <v>0</v>
      </c>
      <c r="G1227">
        <v>170.79</v>
      </c>
    </row>
    <row r="1228" spans="1:7" x14ac:dyDescent="0.2">
      <c r="A1228" t="s">
        <v>1179</v>
      </c>
      <c r="B1228" t="s">
        <v>404</v>
      </c>
      <c r="C1228">
        <v>75362.3</v>
      </c>
      <c r="D1228">
        <v>70614.3</v>
      </c>
      <c r="E1228">
        <v>0</v>
      </c>
      <c r="F1228">
        <v>0</v>
      </c>
      <c r="G1228">
        <v>4748</v>
      </c>
    </row>
    <row r="1229" spans="1:7" x14ac:dyDescent="0.2">
      <c r="A1229" t="s">
        <v>307</v>
      </c>
      <c r="B1229" t="s">
        <v>24</v>
      </c>
      <c r="C1229">
        <v>121205.96</v>
      </c>
      <c r="D1229">
        <v>78375.570000000007</v>
      </c>
      <c r="E1229">
        <v>1461.07</v>
      </c>
      <c r="F1229">
        <v>32189</v>
      </c>
      <c r="G1229">
        <v>9180.32</v>
      </c>
    </row>
    <row r="1230" spans="1:7" x14ac:dyDescent="0.2">
      <c r="A1230" t="s">
        <v>986</v>
      </c>
      <c r="B1230" t="s">
        <v>404</v>
      </c>
      <c r="C1230">
        <v>83433.42</v>
      </c>
      <c r="D1230">
        <v>82150.92</v>
      </c>
      <c r="E1230">
        <v>0</v>
      </c>
      <c r="F1230">
        <v>0</v>
      </c>
      <c r="G1230">
        <v>1282.5</v>
      </c>
    </row>
    <row r="1231" spans="1:7" x14ac:dyDescent="0.2">
      <c r="A1231" t="s">
        <v>61</v>
      </c>
      <c r="B1231" t="s">
        <v>62</v>
      </c>
      <c r="C1231">
        <v>194430.21</v>
      </c>
      <c r="D1231">
        <v>190430.25</v>
      </c>
      <c r="E1231">
        <v>0</v>
      </c>
      <c r="F1231">
        <v>0</v>
      </c>
      <c r="G1231">
        <v>3999.96</v>
      </c>
    </row>
    <row r="1232" spans="1:7" x14ac:dyDescent="0.2">
      <c r="A1232" t="s">
        <v>1508</v>
      </c>
      <c r="B1232" t="s">
        <v>519</v>
      </c>
      <c r="C1232">
        <v>61343.27</v>
      </c>
      <c r="D1232">
        <v>33669.14</v>
      </c>
      <c r="E1232">
        <v>13742.06</v>
      </c>
      <c r="F1232">
        <v>0</v>
      </c>
      <c r="G1232">
        <v>13932.07</v>
      </c>
    </row>
    <row r="1233" spans="1:7" x14ac:dyDescent="0.2">
      <c r="A1233" t="s">
        <v>516</v>
      </c>
      <c r="B1233" t="s">
        <v>448</v>
      </c>
      <c r="C1233">
        <v>105360.44</v>
      </c>
      <c r="D1233">
        <v>101335.78</v>
      </c>
      <c r="E1233">
        <v>0</v>
      </c>
      <c r="F1233">
        <v>0</v>
      </c>
      <c r="G1233">
        <v>4024.66</v>
      </c>
    </row>
    <row r="1234" spans="1:7" x14ac:dyDescent="0.2">
      <c r="A1234" t="s">
        <v>1131</v>
      </c>
      <c r="B1234" t="s">
        <v>1132</v>
      </c>
      <c r="C1234">
        <v>77050.62</v>
      </c>
      <c r="D1234">
        <v>76314.13</v>
      </c>
      <c r="E1234">
        <v>0</v>
      </c>
      <c r="F1234">
        <v>0</v>
      </c>
      <c r="G1234">
        <v>736.49</v>
      </c>
    </row>
    <row r="1235" spans="1:7" x14ac:dyDescent="0.2">
      <c r="A1235" t="s">
        <v>662</v>
      </c>
      <c r="B1235" t="s">
        <v>330</v>
      </c>
      <c r="C1235">
        <v>99761.31</v>
      </c>
      <c r="D1235">
        <v>99761.31</v>
      </c>
      <c r="E1235">
        <v>0</v>
      </c>
      <c r="F1235">
        <v>0</v>
      </c>
      <c r="G1235">
        <v>0</v>
      </c>
    </row>
    <row r="1236" spans="1:7" x14ac:dyDescent="0.2">
      <c r="A1236" t="s">
        <v>1136</v>
      </c>
      <c r="B1236" t="s">
        <v>378</v>
      </c>
      <c r="C1236">
        <v>76861.8</v>
      </c>
      <c r="D1236">
        <v>76861.8</v>
      </c>
      <c r="E1236">
        <v>0</v>
      </c>
      <c r="F1236">
        <v>0</v>
      </c>
      <c r="G1236">
        <v>0</v>
      </c>
    </row>
    <row r="1237" spans="1:7" x14ac:dyDescent="0.2">
      <c r="A1237" t="s">
        <v>910</v>
      </c>
      <c r="B1237" t="s">
        <v>433</v>
      </c>
      <c r="C1237">
        <v>88509.05</v>
      </c>
      <c r="D1237">
        <v>85538.01</v>
      </c>
      <c r="E1237">
        <v>0</v>
      </c>
      <c r="F1237">
        <v>0</v>
      </c>
      <c r="G1237">
        <v>2971.04</v>
      </c>
    </row>
    <row r="1238" spans="1:7" x14ac:dyDescent="0.2">
      <c r="A1238" t="s">
        <v>896</v>
      </c>
      <c r="B1238" t="s">
        <v>404</v>
      </c>
      <c r="C1238">
        <v>89120.12</v>
      </c>
      <c r="D1238">
        <v>86274.48</v>
      </c>
      <c r="E1238">
        <v>0</v>
      </c>
      <c r="F1238">
        <v>0</v>
      </c>
      <c r="G1238">
        <v>2845.64</v>
      </c>
    </row>
    <row r="1239" spans="1:7" x14ac:dyDescent="0.2">
      <c r="A1239" t="s">
        <v>1485</v>
      </c>
      <c r="B1239" t="s">
        <v>330</v>
      </c>
      <c r="C1239">
        <v>61940.68</v>
      </c>
      <c r="D1239">
        <v>60457.68</v>
      </c>
      <c r="E1239">
        <v>0</v>
      </c>
      <c r="F1239">
        <v>0</v>
      </c>
      <c r="G1239">
        <v>1483</v>
      </c>
    </row>
    <row r="1240" spans="1:7" x14ac:dyDescent="0.2">
      <c r="A1240" t="s">
        <v>709</v>
      </c>
      <c r="B1240" t="s">
        <v>710</v>
      </c>
      <c r="C1240">
        <v>97629.440000000002</v>
      </c>
      <c r="D1240">
        <v>97629.440000000002</v>
      </c>
      <c r="E1240">
        <v>0</v>
      </c>
      <c r="F1240">
        <v>0</v>
      </c>
      <c r="G1240">
        <v>0</v>
      </c>
    </row>
    <row r="1241" spans="1:7" x14ac:dyDescent="0.2">
      <c r="A1241" t="s">
        <v>690</v>
      </c>
      <c r="B1241" t="s">
        <v>378</v>
      </c>
      <c r="C1241">
        <v>98507.13</v>
      </c>
      <c r="D1241">
        <v>96651.6</v>
      </c>
      <c r="E1241">
        <v>0</v>
      </c>
      <c r="F1241">
        <v>0</v>
      </c>
      <c r="G1241">
        <v>1855.53</v>
      </c>
    </row>
    <row r="1242" spans="1:7" x14ac:dyDescent="0.2">
      <c r="A1242" t="s">
        <v>617</v>
      </c>
      <c r="B1242" t="s">
        <v>330</v>
      </c>
      <c r="C1242">
        <v>101442.9</v>
      </c>
      <c r="D1242">
        <v>100527.78</v>
      </c>
      <c r="E1242">
        <v>0</v>
      </c>
      <c r="F1242">
        <v>0</v>
      </c>
      <c r="G1242">
        <v>915.12</v>
      </c>
    </row>
    <row r="1243" spans="1:7" x14ac:dyDescent="0.2">
      <c r="A1243" t="s">
        <v>1529</v>
      </c>
      <c r="B1243" t="s">
        <v>1266</v>
      </c>
      <c r="C1243">
        <v>60628.29</v>
      </c>
      <c r="D1243">
        <v>52630.54</v>
      </c>
      <c r="E1243">
        <v>2170.6</v>
      </c>
      <c r="F1243">
        <v>0</v>
      </c>
      <c r="G1243">
        <v>5827.15</v>
      </c>
    </row>
    <row r="1244" spans="1:7" x14ac:dyDescent="0.2">
      <c r="A1244" t="s">
        <v>638</v>
      </c>
      <c r="B1244" t="s">
        <v>285</v>
      </c>
      <c r="C1244">
        <v>100618.87</v>
      </c>
      <c r="D1244">
        <v>87826.87</v>
      </c>
      <c r="E1244">
        <v>0</v>
      </c>
      <c r="F1244">
        <v>0</v>
      </c>
      <c r="G1244">
        <v>12792</v>
      </c>
    </row>
    <row r="1245" spans="1:7" x14ac:dyDescent="0.2">
      <c r="A1245" t="s">
        <v>680</v>
      </c>
      <c r="B1245" t="s">
        <v>378</v>
      </c>
      <c r="C1245">
        <v>98986.84</v>
      </c>
      <c r="D1245">
        <v>95746.72</v>
      </c>
      <c r="E1245">
        <v>0</v>
      </c>
      <c r="F1245">
        <v>0</v>
      </c>
      <c r="G1245">
        <v>3240.12</v>
      </c>
    </row>
    <row r="1246" spans="1:7" x14ac:dyDescent="0.2">
      <c r="A1246" t="s">
        <v>1406</v>
      </c>
      <c r="B1246" t="s">
        <v>1319</v>
      </c>
      <c r="C1246">
        <v>65355.9</v>
      </c>
      <c r="D1246">
        <v>54268.42</v>
      </c>
      <c r="E1246">
        <v>180.18</v>
      </c>
      <c r="F1246">
        <v>0</v>
      </c>
      <c r="G1246">
        <v>10907.3</v>
      </c>
    </row>
    <row r="1247" spans="1:7" x14ac:dyDescent="0.2">
      <c r="A1247" t="s">
        <v>48</v>
      </c>
      <c r="B1247" t="s">
        <v>49</v>
      </c>
      <c r="C1247">
        <v>208512.31</v>
      </c>
      <c r="D1247">
        <v>107587.51</v>
      </c>
      <c r="E1247">
        <v>42931.69</v>
      </c>
      <c r="F1247">
        <v>12891.5</v>
      </c>
      <c r="G1247">
        <v>45101.61</v>
      </c>
    </row>
    <row r="1248" spans="1:7" x14ac:dyDescent="0.2">
      <c r="A1248" t="s">
        <v>769</v>
      </c>
      <c r="B1248" t="s">
        <v>404</v>
      </c>
      <c r="C1248">
        <v>95144.91</v>
      </c>
      <c r="D1248">
        <v>90204.75</v>
      </c>
      <c r="E1248">
        <v>0</v>
      </c>
      <c r="F1248">
        <v>0</v>
      </c>
      <c r="G1248">
        <v>4940.16</v>
      </c>
    </row>
    <row r="1249" spans="1:7" x14ac:dyDescent="0.2">
      <c r="A1249" t="s">
        <v>510</v>
      </c>
      <c r="B1249" t="s">
        <v>330</v>
      </c>
      <c r="C1249">
        <v>105561.54</v>
      </c>
      <c r="D1249">
        <v>104427.9</v>
      </c>
      <c r="E1249">
        <v>0</v>
      </c>
      <c r="F1249">
        <v>0</v>
      </c>
      <c r="G1249">
        <v>1133.6400000000001</v>
      </c>
    </row>
    <row r="1250" spans="1:7" x14ac:dyDescent="0.2">
      <c r="A1250" t="s">
        <v>1599</v>
      </c>
      <c r="B1250" t="s">
        <v>330</v>
      </c>
      <c r="C1250">
        <v>57674.49</v>
      </c>
      <c r="D1250">
        <v>57674.49</v>
      </c>
      <c r="E1250">
        <v>0</v>
      </c>
      <c r="F1250">
        <v>0</v>
      </c>
      <c r="G1250">
        <v>0</v>
      </c>
    </row>
    <row r="1251" spans="1:7" x14ac:dyDescent="0.2">
      <c r="A1251" t="s">
        <v>1218</v>
      </c>
      <c r="B1251" t="s">
        <v>1219</v>
      </c>
      <c r="C1251">
        <v>72522.59</v>
      </c>
      <c r="D1251">
        <v>71724.570000000007</v>
      </c>
      <c r="E1251">
        <v>0</v>
      </c>
      <c r="F1251">
        <v>0</v>
      </c>
      <c r="G1251">
        <v>798.02</v>
      </c>
    </row>
    <row r="1252" spans="1:7" x14ac:dyDescent="0.2">
      <c r="A1252" t="s">
        <v>1072</v>
      </c>
      <c r="B1252" t="s">
        <v>378</v>
      </c>
      <c r="C1252">
        <v>79213.399999999994</v>
      </c>
      <c r="D1252">
        <v>78261.25</v>
      </c>
      <c r="E1252">
        <v>0</v>
      </c>
      <c r="F1252">
        <v>0</v>
      </c>
      <c r="G1252">
        <v>952.15</v>
      </c>
    </row>
    <row r="1253" spans="1:7" x14ac:dyDescent="0.2">
      <c r="A1253" t="s">
        <v>1432</v>
      </c>
      <c r="B1253" t="s">
        <v>1120</v>
      </c>
      <c r="C1253">
        <v>64494.17</v>
      </c>
      <c r="D1253">
        <v>53990.55</v>
      </c>
      <c r="E1253">
        <v>5287.9</v>
      </c>
      <c r="F1253">
        <v>2474.25</v>
      </c>
      <c r="G1253">
        <v>2741.47</v>
      </c>
    </row>
    <row r="1254" spans="1:7" x14ac:dyDescent="0.2">
      <c r="A1254" t="s">
        <v>204</v>
      </c>
      <c r="B1254" t="s">
        <v>65</v>
      </c>
      <c r="C1254">
        <v>134154.54</v>
      </c>
      <c r="D1254">
        <v>98186.77</v>
      </c>
      <c r="E1254">
        <v>0</v>
      </c>
      <c r="F1254">
        <v>0</v>
      </c>
      <c r="G1254">
        <v>35967.769999999997</v>
      </c>
    </row>
    <row r="1255" spans="1:7" x14ac:dyDescent="0.2">
      <c r="A1255" t="s">
        <v>1055</v>
      </c>
      <c r="B1255" t="s">
        <v>378</v>
      </c>
      <c r="C1255">
        <v>79696.91</v>
      </c>
      <c r="D1255">
        <v>78679.259999999995</v>
      </c>
      <c r="E1255">
        <v>0</v>
      </c>
      <c r="F1255">
        <v>0</v>
      </c>
      <c r="G1255">
        <v>1017.65</v>
      </c>
    </row>
    <row r="1256" spans="1:7" x14ac:dyDescent="0.2">
      <c r="A1256" t="s">
        <v>226</v>
      </c>
      <c r="B1256" t="s">
        <v>24</v>
      </c>
      <c r="C1256">
        <v>130680.31</v>
      </c>
      <c r="D1256">
        <v>78231.5</v>
      </c>
      <c r="E1256">
        <v>15422.49</v>
      </c>
      <c r="F1256">
        <v>29546</v>
      </c>
      <c r="G1256">
        <v>7480.32</v>
      </c>
    </row>
    <row r="1257" spans="1:7" x14ac:dyDescent="0.2">
      <c r="A1257" t="s">
        <v>980</v>
      </c>
      <c r="B1257" t="s">
        <v>981</v>
      </c>
      <c r="C1257">
        <v>83616.58</v>
      </c>
      <c r="D1257">
        <v>75668.45</v>
      </c>
      <c r="E1257">
        <v>940.14</v>
      </c>
      <c r="F1257">
        <v>0</v>
      </c>
      <c r="G1257">
        <v>7007.99</v>
      </c>
    </row>
    <row r="1258" spans="1:7" x14ac:dyDescent="0.2">
      <c r="A1258" t="s">
        <v>277</v>
      </c>
      <c r="B1258" t="s">
        <v>278</v>
      </c>
      <c r="C1258">
        <v>123495.27</v>
      </c>
      <c r="D1258">
        <v>89645.91</v>
      </c>
      <c r="E1258">
        <v>21851.27</v>
      </c>
      <c r="F1258">
        <v>0</v>
      </c>
      <c r="G1258">
        <v>11998.09</v>
      </c>
    </row>
    <row r="1259" spans="1:7" x14ac:dyDescent="0.2">
      <c r="A1259" t="s">
        <v>1285</v>
      </c>
      <c r="B1259" t="s">
        <v>330</v>
      </c>
      <c r="C1259">
        <v>69656.789999999994</v>
      </c>
      <c r="D1259">
        <v>69278.59</v>
      </c>
      <c r="E1259">
        <v>0</v>
      </c>
      <c r="F1259">
        <v>0</v>
      </c>
      <c r="G1259">
        <v>378.2</v>
      </c>
    </row>
    <row r="1260" spans="1:7" x14ac:dyDescent="0.2">
      <c r="A1260" t="s">
        <v>185</v>
      </c>
      <c r="B1260" t="s">
        <v>34</v>
      </c>
      <c r="C1260">
        <v>138136.65</v>
      </c>
      <c r="D1260">
        <v>112996.08</v>
      </c>
      <c r="E1260">
        <v>6800.52</v>
      </c>
      <c r="F1260">
        <v>7792</v>
      </c>
      <c r="G1260">
        <v>10548.05</v>
      </c>
    </row>
    <row r="1261" spans="1:7" x14ac:dyDescent="0.2">
      <c r="A1261" t="s">
        <v>1736</v>
      </c>
      <c r="B1261" t="s">
        <v>1227</v>
      </c>
      <c r="C1261">
        <v>50183.38</v>
      </c>
      <c r="D1261">
        <v>47637.7</v>
      </c>
      <c r="E1261">
        <v>0</v>
      </c>
      <c r="F1261">
        <v>0</v>
      </c>
      <c r="G1261">
        <v>2545.6799999999998</v>
      </c>
    </row>
    <row r="1262" spans="1:7" x14ac:dyDescent="0.2">
      <c r="A1262" t="s">
        <v>1528</v>
      </c>
      <c r="B1262" t="s">
        <v>1028</v>
      </c>
      <c r="C1262">
        <v>60631.95</v>
      </c>
      <c r="D1262">
        <v>52032.05</v>
      </c>
      <c r="E1262">
        <v>1531.7</v>
      </c>
      <c r="F1262">
        <v>3110.12</v>
      </c>
      <c r="G1262">
        <v>3958.08</v>
      </c>
    </row>
    <row r="1263" spans="1:7" x14ac:dyDescent="0.2">
      <c r="A1263" t="s">
        <v>400</v>
      </c>
      <c r="B1263" t="s">
        <v>401</v>
      </c>
      <c r="C1263">
        <v>111347.68</v>
      </c>
      <c r="D1263">
        <v>110345.7</v>
      </c>
      <c r="E1263">
        <v>0</v>
      </c>
      <c r="F1263">
        <v>0</v>
      </c>
      <c r="G1263">
        <v>1001.98</v>
      </c>
    </row>
    <row r="1264" spans="1:7" x14ac:dyDescent="0.2">
      <c r="A1264" t="s">
        <v>254</v>
      </c>
      <c r="B1264" t="s">
        <v>34</v>
      </c>
      <c r="C1264">
        <v>126238.99</v>
      </c>
      <c r="D1264">
        <v>111376.14</v>
      </c>
      <c r="E1264">
        <v>162.77000000000001</v>
      </c>
      <c r="F1264">
        <v>0</v>
      </c>
      <c r="G1264">
        <v>14700.08</v>
      </c>
    </row>
    <row r="1265" spans="1:7" x14ac:dyDescent="0.2">
      <c r="A1265" t="s">
        <v>464</v>
      </c>
      <c r="B1265" t="s">
        <v>404</v>
      </c>
      <c r="C1265">
        <v>107923.1</v>
      </c>
      <c r="D1265">
        <v>101667.66</v>
      </c>
      <c r="E1265">
        <v>0</v>
      </c>
      <c r="F1265">
        <v>0</v>
      </c>
      <c r="G1265">
        <v>6255.44</v>
      </c>
    </row>
    <row r="1266" spans="1:7" x14ac:dyDescent="0.2">
      <c r="A1266" t="s">
        <v>705</v>
      </c>
      <c r="B1266" t="s">
        <v>378</v>
      </c>
      <c r="C1266">
        <v>98017.29</v>
      </c>
      <c r="D1266">
        <v>97909.29</v>
      </c>
      <c r="E1266">
        <v>0</v>
      </c>
      <c r="F1266">
        <v>0</v>
      </c>
      <c r="G1266">
        <v>108</v>
      </c>
    </row>
    <row r="1267" spans="1:7" x14ac:dyDescent="0.2">
      <c r="A1267" t="s">
        <v>608</v>
      </c>
      <c r="B1267" t="s">
        <v>404</v>
      </c>
      <c r="C1267">
        <v>101789.49</v>
      </c>
      <c r="D1267">
        <v>99267.35</v>
      </c>
      <c r="E1267">
        <v>0</v>
      </c>
      <c r="F1267">
        <v>0</v>
      </c>
      <c r="G1267">
        <v>2522.14</v>
      </c>
    </row>
    <row r="1268" spans="1:7" x14ac:dyDescent="0.2">
      <c r="A1268" t="s">
        <v>1607</v>
      </c>
      <c r="B1268" t="s">
        <v>448</v>
      </c>
      <c r="C1268">
        <v>57274.8</v>
      </c>
      <c r="D1268">
        <v>57118.8</v>
      </c>
      <c r="E1268">
        <v>0</v>
      </c>
      <c r="F1268">
        <v>0</v>
      </c>
      <c r="G1268">
        <v>156</v>
      </c>
    </row>
    <row r="1269" spans="1:7" x14ac:dyDescent="0.2">
      <c r="A1269" t="s">
        <v>157</v>
      </c>
      <c r="B1269" t="s">
        <v>158</v>
      </c>
      <c r="C1269">
        <v>144747.76999999999</v>
      </c>
      <c r="D1269">
        <v>143449.48000000001</v>
      </c>
      <c r="E1269">
        <v>0</v>
      </c>
      <c r="F1269">
        <v>0</v>
      </c>
      <c r="G1269">
        <v>1298.29</v>
      </c>
    </row>
    <row r="1270" spans="1:7" x14ac:dyDescent="0.2">
      <c r="A1270" t="s">
        <v>1480</v>
      </c>
      <c r="B1270" t="s">
        <v>1481</v>
      </c>
      <c r="C1270">
        <v>62229.49</v>
      </c>
      <c r="D1270">
        <v>49512.7</v>
      </c>
      <c r="E1270">
        <v>10324.959999999999</v>
      </c>
      <c r="F1270">
        <v>0</v>
      </c>
      <c r="G1270">
        <v>2391.83</v>
      </c>
    </row>
    <row r="1271" spans="1:7" x14ac:dyDescent="0.2">
      <c r="A1271" t="s">
        <v>1412</v>
      </c>
      <c r="B1271" t="s">
        <v>404</v>
      </c>
      <c r="C1271">
        <v>65230.18</v>
      </c>
      <c r="D1271">
        <v>62687.56</v>
      </c>
      <c r="E1271">
        <v>0</v>
      </c>
      <c r="F1271">
        <v>0</v>
      </c>
      <c r="G1271">
        <v>2542.62</v>
      </c>
    </row>
    <row r="1272" spans="1:7" x14ac:dyDescent="0.2">
      <c r="A1272" t="s">
        <v>153</v>
      </c>
      <c r="B1272" t="s">
        <v>65</v>
      </c>
      <c r="C1272">
        <v>146151.29</v>
      </c>
      <c r="D1272">
        <v>94066.02</v>
      </c>
      <c r="E1272">
        <v>14161.39</v>
      </c>
      <c r="F1272">
        <v>0</v>
      </c>
      <c r="G1272">
        <v>37923.879999999997</v>
      </c>
    </row>
    <row r="1273" spans="1:7" x14ac:dyDescent="0.2">
      <c r="A1273" t="s">
        <v>775</v>
      </c>
      <c r="B1273" t="s">
        <v>776</v>
      </c>
      <c r="C1273">
        <v>94980.83</v>
      </c>
      <c r="D1273">
        <v>81632.320000000007</v>
      </c>
      <c r="E1273">
        <v>234.54</v>
      </c>
      <c r="F1273">
        <v>0</v>
      </c>
      <c r="G1273">
        <v>13113.97</v>
      </c>
    </row>
    <row r="1274" spans="1:7" x14ac:dyDescent="0.2">
      <c r="A1274" t="s">
        <v>1429</v>
      </c>
      <c r="B1274" t="s">
        <v>1266</v>
      </c>
      <c r="C1274">
        <v>64571.77</v>
      </c>
      <c r="D1274">
        <v>52564.03</v>
      </c>
      <c r="E1274">
        <v>3113.15</v>
      </c>
      <c r="F1274">
        <v>0</v>
      </c>
      <c r="G1274">
        <v>8894.59</v>
      </c>
    </row>
    <row r="1275" spans="1:7" x14ac:dyDescent="0.2">
      <c r="A1275" t="s">
        <v>888</v>
      </c>
      <c r="B1275" t="s">
        <v>24</v>
      </c>
      <c r="C1275">
        <v>89522.11</v>
      </c>
      <c r="D1275">
        <v>68216.38</v>
      </c>
      <c r="E1275">
        <v>9199.4</v>
      </c>
      <c r="F1275">
        <v>3726</v>
      </c>
      <c r="G1275">
        <v>8380.33</v>
      </c>
    </row>
    <row r="1276" spans="1:7" x14ac:dyDescent="0.2">
      <c r="A1276" t="s">
        <v>854</v>
      </c>
      <c r="B1276" t="s">
        <v>448</v>
      </c>
      <c r="C1276">
        <v>91741.06</v>
      </c>
      <c r="D1276">
        <v>90204.75</v>
      </c>
      <c r="E1276">
        <v>0</v>
      </c>
      <c r="F1276">
        <v>0</v>
      </c>
      <c r="G1276">
        <v>1536.31</v>
      </c>
    </row>
    <row r="1277" spans="1:7" x14ac:dyDescent="0.2">
      <c r="A1277" t="s">
        <v>1020</v>
      </c>
      <c r="B1277" t="s">
        <v>448</v>
      </c>
      <c r="C1277">
        <v>81556.53</v>
      </c>
      <c r="D1277">
        <v>79173.81</v>
      </c>
      <c r="E1277">
        <v>0</v>
      </c>
      <c r="F1277">
        <v>0</v>
      </c>
      <c r="G1277">
        <v>2382.7199999999998</v>
      </c>
    </row>
    <row r="1278" spans="1:7" x14ac:dyDescent="0.2">
      <c r="A1278" t="s">
        <v>867</v>
      </c>
      <c r="B1278" t="s">
        <v>378</v>
      </c>
      <c r="C1278">
        <v>91103.25</v>
      </c>
      <c r="D1278">
        <v>90317.25</v>
      </c>
      <c r="E1278">
        <v>0</v>
      </c>
      <c r="F1278">
        <v>0</v>
      </c>
      <c r="G1278">
        <v>786</v>
      </c>
    </row>
    <row r="1279" spans="1:7" x14ac:dyDescent="0.2">
      <c r="A1279" t="s">
        <v>409</v>
      </c>
      <c r="B1279" t="s">
        <v>130</v>
      </c>
      <c r="C1279">
        <v>110864.79</v>
      </c>
      <c r="D1279">
        <v>79765.820000000007</v>
      </c>
      <c r="E1279">
        <v>757.27</v>
      </c>
      <c r="F1279">
        <v>0</v>
      </c>
      <c r="G1279">
        <v>30341.7</v>
      </c>
    </row>
    <row r="1280" spans="1:7" x14ac:dyDescent="0.2">
      <c r="A1280" t="s">
        <v>108</v>
      </c>
      <c r="B1280" t="s">
        <v>24</v>
      </c>
      <c r="C1280">
        <v>163041.97</v>
      </c>
      <c r="D1280">
        <v>87938.72</v>
      </c>
      <c r="E1280">
        <v>21461.19</v>
      </c>
      <c r="F1280">
        <v>44673</v>
      </c>
      <c r="G1280">
        <v>8969.06</v>
      </c>
    </row>
    <row r="1281" spans="1:7" x14ac:dyDescent="0.2">
      <c r="A1281" t="s">
        <v>979</v>
      </c>
      <c r="B1281" t="s">
        <v>519</v>
      </c>
      <c r="C1281">
        <v>83782.87</v>
      </c>
      <c r="D1281">
        <v>50970.27</v>
      </c>
      <c r="E1281">
        <v>20712.580000000002</v>
      </c>
      <c r="F1281">
        <v>0</v>
      </c>
      <c r="G1281">
        <v>12100.02</v>
      </c>
    </row>
    <row r="1282" spans="1:7" x14ac:dyDescent="0.2">
      <c r="A1282" t="s">
        <v>881</v>
      </c>
      <c r="B1282" t="s">
        <v>811</v>
      </c>
      <c r="C1282">
        <v>90151.59</v>
      </c>
      <c r="D1282">
        <v>90151.59</v>
      </c>
      <c r="E1282">
        <v>0</v>
      </c>
      <c r="F1282">
        <v>0</v>
      </c>
      <c r="G1282">
        <v>0</v>
      </c>
    </row>
    <row r="1283" spans="1:7" x14ac:dyDescent="0.2">
      <c r="A1283" t="s">
        <v>954</v>
      </c>
      <c r="B1283" t="s">
        <v>879</v>
      </c>
      <c r="C1283">
        <v>85469.84</v>
      </c>
      <c r="D1283">
        <v>52166.84</v>
      </c>
      <c r="E1283">
        <v>20340.03</v>
      </c>
      <c r="F1283">
        <v>0</v>
      </c>
      <c r="G1283">
        <v>12962.97</v>
      </c>
    </row>
    <row r="1284" spans="1:7" x14ac:dyDescent="0.2">
      <c r="A1284" t="s">
        <v>42</v>
      </c>
      <c r="B1284" t="s">
        <v>26</v>
      </c>
      <c r="C1284">
        <v>218319.79</v>
      </c>
      <c r="D1284">
        <v>137547.82</v>
      </c>
      <c r="E1284">
        <v>28323.759999999998</v>
      </c>
      <c r="F1284">
        <v>781.5</v>
      </c>
      <c r="G1284">
        <v>51666.71</v>
      </c>
    </row>
    <row r="1285" spans="1:7" x14ac:dyDescent="0.2">
      <c r="A1285" t="s">
        <v>87</v>
      </c>
      <c r="B1285" t="s">
        <v>65</v>
      </c>
      <c r="C1285">
        <v>180036.42</v>
      </c>
      <c r="D1285">
        <v>94020.5</v>
      </c>
      <c r="E1285">
        <v>39453.839999999997</v>
      </c>
      <c r="F1285">
        <v>6779.5</v>
      </c>
      <c r="G1285">
        <v>39782.58</v>
      </c>
    </row>
    <row r="1286" spans="1:7" x14ac:dyDescent="0.2">
      <c r="A1286" t="s">
        <v>276</v>
      </c>
      <c r="B1286" t="s">
        <v>130</v>
      </c>
      <c r="C1286">
        <v>123792.02</v>
      </c>
      <c r="D1286">
        <v>78536.63</v>
      </c>
      <c r="E1286">
        <v>15677.89</v>
      </c>
      <c r="F1286">
        <v>2288.5</v>
      </c>
      <c r="G1286">
        <v>27289</v>
      </c>
    </row>
    <row r="1287" spans="1:7" x14ac:dyDescent="0.2">
      <c r="A1287" t="s">
        <v>1732</v>
      </c>
      <c r="B1287" t="s">
        <v>1733</v>
      </c>
      <c r="C1287">
        <v>50441.62</v>
      </c>
      <c r="D1287">
        <v>50441.62</v>
      </c>
      <c r="E1287">
        <v>0</v>
      </c>
      <c r="F1287">
        <v>0</v>
      </c>
      <c r="G1287">
        <v>0</v>
      </c>
    </row>
    <row r="1288" spans="1:7" x14ac:dyDescent="0.2">
      <c r="A1288" t="s">
        <v>1582</v>
      </c>
      <c r="B1288" t="s">
        <v>1384</v>
      </c>
      <c r="C1288">
        <v>58456.57</v>
      </c>
      <c r="D1288">
        <v>45764.84</v>
      </c>
      <c r="E1288">
        <v>4362.74</v>
      </c>
      <c r="F1288">
        <v>0</v>
      </c>
      <c r="G1288">
        <v>8328.99</v>
      </c>
    </row>
    <row r="1289" spans="1:7" x14ac:dyDescent="0.2">
      <c r="A1289" t="s">
        <v>1532</v>
      </c>
      <c r="B1289" t="s">
        <v>1357</v>
      </c>
      <c r="C1289">
        <v>60270.17</v>
      </c>
      <c r="D1289">
        <v>49270.86</v>
      </c>
      <c r="E1289">
        <v>1906.44</v>
      </c>
      <c r="F1289">
        <v>0</v>
      </c>
      <c r="G1289">
        <v>9092.8700000000008</v>
      </c>
    </row>
    <row r="1290" spans="1:7" x14ac:dyDescent="0.2">
      <c r="A1290" t="s">
        <v>1510</v>
      </c>
      <c r="B1290" t="s">
        <v>404</v>
      </c>
      <c r="C1290">
        <v>61322.28</v>
      </c>
      <c r="D1290">
        <v>59831.28</v>
      </c>
      <c r="E1290">
        <v>0</v>
      </c>
      <c r="F1290">
        <v>0</v>
      </c>
      <c r="G1290">
        <v>1491</v>
      </c>
    </row>
    <row r="1291" spans="1:7" x14ac:dyDescent="0.2">
      <c r="A1291" t="s">
        <v>1074</v>
      </c>
      <c r="B1291" t="s">
        <v>378</v>
      </c>
      <c r="C1291">
        <v>79173.81</v>
      </c>
      <c r="D1291">
        <v>79173.81</v>
      </c>
      <c r="E1291">
        <v>0</v>
      </c>
      <c r="F1291">
        <v>0</v>
      </c>
      <c r="G1291">
        <v>0</v>
      </c>
    </row>
    <row r="1292" spans="1:7" x14ac:dyDescent="0.2">
      <c r="A1292" t="s">
        <v>1305</v>
      </c>
      <c r="B1292" t="s">
        <v>1306</v>
      </c>
      <c r="C1292">
        <v>68939.509999999995</v>
      </c>
      <c r="D1292">
        <v>68939.509999999995</v>
      </c>
      <c r="E1292">
        <v>0</v>
      </c>
      <c r="F1292">
        <v>0</v>
      </c>
      <c r="G1292">
        <v>0</v>
      </c>
    </row>
    <row r="1293" spans="1:7" x14ac:dyDescent="0.2">
      <c r="A1293" t="s">
        <v>138</v>
      </c>
      <c r="B1293" t="s">
        <v>24</v>
      </c>
      <c r="C1293">
        <v>151285.43</v>
      </c>
      <c r="D1293">
        <v>79745.210000000006</v>
      </c>
      <c r="E1293">
        <v>4648.82</v>
      </c>
      <c r="F1293">
        <v>60626</v>
      </c>
      <c r="G1293">
        <v>6265.4</v>
      </c>
    </row>
    <row r="1294" spans="1:7" x14ac:dyDescent="0.2">
      <c r="A1294" t="s">
        <v>1633</v>
      </c>
      <c r="B1294" t="s">
        <v>1634</v>
      </c>
      <c r="C1294">
        <v>55491.38</v>
      </c>
      <c r="D1294">
        <v>53580.480000000003</v>
      </c>
      <c r="E1294">
        <v>0</v>
      </c>
      <c r="F1294">
        <v>0</v>
      </c>
      <c r="G1294">
        <v>1910.9</v>
      </c>
    </row>
    <row r="1295" spans="1:7" x14ac:dyDescent="0.2">
      <c r="A1295" t="s">
        <v>934</v>
      </c>
      <c r="B1295" t="s">
        <v>378</v>
      </c>
      <c r="C1295">
        <v>87132.25</v>
      </c>
      <c r="D1295">
        <v>83957.25</v>
      </c>
      <c r="E1295">
        <v>0</v>
      </c>
      <c r="F1295">
        <v>0</v>
      </c>
      <c r="G1295">
        <v>3175</v>
      </c>
    </row>
    <row r="1296" spans="1:7" x14ac:dyDescent="0.2">
      <c r="A1296" t="s">
        <v>746</v>
      </c>
      <c r="B1296" t="s">
        <v>378</v>
      </c>
      <c r="C1296">
        <v>96144.99</v>
      </c>
      <c r="D1296">
        <v>96144.99</v>
      </c>
      <c r="E1296">
        <v>0</v>
      </c>
      <c r="F1296">
        <v>0</v>
      </c>
      <c r="G1296">
        <v>0</v>
      </c>
    </row>
    <row r="1297" spans="1:7" x14ac:dyDescent="0.2">
      <c r="A1297" t="s">
        <v>155</v>
      </c>
      <c r="B1297" t="s">
        <v>156</v>
      </c>
      <c r="C1297">
        <v>144792.45000000001</v>
      </c>
      <c r="D1297">
        <v>144792.45000000001</v>
      </c>
      <c r="E1297">
        <v>0</v>
      </c>
      <c r="F1297">
        <v>0</v>
      </c>
      <c r="G1297">
        <v>0</v>
      </c>
    </row>
    <row r="1298" spans="1:7" x14ac:dyDescent="0.2">
      <c r="A1298" t="s">
        <v>1464</v>
      </c>
      <c r="B1298" t="s">
        <v>166</v>
      </c>
      <c r="C1298">
        <v>62979.37</v>
      </c>
      <c r="D1298">
        <v>62979.37</v>
      </c>
      <c r="E1298">
        <v>0</v>
      </c>
      <c r="F1298">
        <v>0</v>
      </c>
      <c r="G1298">
        <v>0</v>
      </c>
    </row>
    <row r="1299" spans="1:7" x14ac:dyDescent="0.2">
      <c r="A1299" t="s">
        <v>1734</v>
      </c>
      <c r="B1299" t="s">
        <v>1613</v>
      </c>
      <c r="C1299">
        <v>50293.66</v>
      </c>
      <c r="D1299">
        <v>50293.66</v>
      </c>
      <c r="E1299">
        <v>0</v>
      </c>
      <c r="F1299">
        <v>0</v>
      </c>
      <c r="G1299">
        <v>0</v>
      </c>
    </row>
    <row r="1300" spans="1:7" x14ac:dyDescent="0.2">
      <c r="A1300" t="s">
        <v>870</v>
      </c>
      <c r="B1300" t="s">
        <v>687</v>
      </c>
      <c r="C1300">
        <v>90993.63</v>
      </c>
      <c r="D1300">
        <v>63576.53</v>
      </c>
      <c r="E1300">
        <v>52.43</v>
      </c>
      <c r="F1300">
        <v>0</v>
      </c>
      <c r="G1300">
        <v>27364.67</v>
      </c>
    </row>
    <row r="1301" spans="1:7" x14ac:dyDescent="0.2">
      <c r="A1301" t="s">
        <v>1559</v>
      </c>
      <c r="B1301" t="s">
        <v>1560</v>
      </c>
      <c r="C1301">
        <v>59454.19</v>
      </c>
      <c r="D1301">
        <v>59454.19</v>
      </c>
      <c r="E1301">
        <v>0</v>
      </c>
      <c r="F1301">
        <v>0</v>
      </c>
      <c r="G1301">
        <v>0</v>
      </c>
    </row>
    <row r="1302" spans="1:7" x14ac:dyDescent="0.2">
      <c r="A1302" t="s">
        <v>1577</v>
      </c>
      <c r="B1302" t="s">
        <v>1578</v>
      </c>
      <c r="C1302">
        <v>58616.13</v>
      </c>
      <c r="D1302">
        <v>58616.13</v>
      </c>
      <c r="E1302">
        <v>0</v>
      </c>
      <c r="F1302">
        <v>0</v>
      </c>
      <c r="G1302">
        <v>0</v>
      </c>
    </row>
    <row r="1303" spans="1:7" x14ac:dyDescent="0.2">
      <c r="A1303" t="s">
        <v>369</v>
      </c>
      <c r="B1303" t="s">
        <v>24</v>
      </c>
      <c r="C1303">
        <v>114669.57</v>
      </c>
      <c r="D1303">
        <v>72052.25</v>
      </c>
      <c r="E1303">
        <v>4821.07</v>
      </c>
      <c r="F1303">
        <v>31598</v>
      </c>
      <c r="G1303">
        <v>6198.25</v>
      </c>
    </row>
    <row r="1304" spans="1:7" x14ac:dyDescent="0.2">
      <c r="A1304" t="s">
        <v>1087</v>
      </c>
      <c r="B1304" t="s">
        <v>1088</v>
      </c>
      <c r="C1304">
        <v>78628.87</v>
      </c>
      <c r="D1304">
        <v>78268.87</v>
      </c>
      <c r="E1304">
        <v>0</v>
      </c>
      <c r="F1304">
        <v>0</v>
      </c>
      <c r="G1304">
        <v>360</v>
      </c>
    </row>
    <row r="1305" spans="1:7" x14ac:dyDescent="0.2">
      <c r="A1305" t="s">
        <v>1551</v>
      </c>
      <c r="B1305" t="s">
        <v>404</v>
      </c>
      <c r="C1305">
        <v>59651.25</v>
      </c>
      <c r="D1305">
        <v>51975.23</v>
      </c>
      <c r="E1305">
        <v>0</v>
      </c>
      <c r="F1305">
        <v>0</v>
      </c>
      <c r="G1305">
        <v>7676.02</v>
      </c>
    </row>
    <row r="1306" spans="1:7" x14ac:dyDescent="0.2">
      <c r="A1306" t="s">
        <v>602</v>
      </c>
      <c r="B1306" t="s">
        <v>378</v>
      </c>
      <c r="C1306">
        <v>102125.92</v>
      </c>
      <c r="D1306">
        <v>100527.78</v>
      </c>
      <c r="E1306">
        <v>0</v>
      </c>
      <c r="F1306">
        <v>0</v>
      </c>
      <c r="G1306">
        <v>1598.14</v>
      </c>
    </row>
    <row r="1307" spans="1:7" x14ac:dyDescent="0.2">
      <c r="A1307" t="s">
        <v>790</v>
      </c>
      <c r="B1307" t="s">
        <v>378</v>
      </c>
      <c r="C1307">
        <v>94342.43</v>
      </c>
      <c r="D1307">
        <v>94082.43</v>
      </c>
      <c r="E1307">
        <v>0</v>
      </c>
      <c r="F1307">
        <v>0</v>
      </c>
      <c r="G1307">
        <v>260</v>
      </c>
    </row>
    <row r="1308" spans="1:7" x14ac:dyDescent="0.2">
      <c r="A1308" t="s">
        <v>1387</v>
      </c>
      <c r="B1308" t="s">
        <v>1028</v>
      </c>
      <c r="C1308">
        <v>66028.570000000007</v>
      </c>
      <c r="D1308">
        <v>54135.07</v>
      </c>
      <c r="E1308">
        <v>2906.98</v>
      </c>
      <c r="F1308">
        <v>4689.62</v>
      </c>
      <c r="G1308">
        <v>4296.8999999999996</v>
      </c>
    </row>
    <row r="1309" spans="1:7" x14ac:dyDescent="0.2">
      <c r="A1309" t="s">
        <v>1171</v>
      </c>
      <c r="B1309" t="s">
        <v>380</v>
      </c>
      <c r="C1309">
        <v>76052.320000000007</v>
      </c>
      <c r="D1309">
        <v>59474.36</v>
      </c>
      <c r="E1309">
        <v>8916.5400000000009</v>
      </c>
      <c r="F1309">
        <v>0</v>
      </c>
      <c r="G1309">
        <v>7661.42</v>
      </c>
    </row>
    <row r="1310" spans="1:7" x14ac:dyDescent="0.2">
      <c r="A1310" t="s">
        <v>1612</v>
      </c>
      <c r="B1310" t="s">
        <v>1613</v>
      </c>
      <c r="C1310">
        <v>56642.1</v>
      </c>
      <c r="D1310">
        <v>54642.1</v>
      </c>
      <c r="E1310">
        <v>0</v>
      </c>
      <c r="F1310">
        <v>0</v>
      </c>
      <c r="G1310">
        <v>2000</v>
      </c>
    </row>
    <row r="1311" spans="1:7" x14ac:dyDescent="0.2">
      <c r="A1311" t="s">
        <v>96</v>
      </c>
      <c r="B1311" t="s">
        <v>24</v>
      </c>
      <c r="C1311">
        <v>171709.47</v>
      </c>
      <c r="D1311">
        <v>84846.71</v>
      </c>
      <c r="E1311">
        <v>33767.040000000001</v>
      </c>
      <c r="F1311">
        <v>44586</v>
      </c>
      <c r="G1311">
        <v>8509.7199999999993</v>
      </c>
    </row>
    <row r="1312" spans="1:7" x14ac:dyDescent="0.2">
      <c r="A1312" t="s">
        <v>487</v>
      </c>
      <c r="B1312" t="s">
        <v>330</v>
      </c>
      <c r="C1312">
        <v>106473.39</v>
      </c>
      <c r="D1312">
        <v>103927.86</v>
      </c>
      <c r="E1312">
        <v>0</v>
      </c>
      <c r="F1312">
        <v>0</v>
      </c>
      <c r="G1312">
        <v>2545.5300000000002</v>
      </c>
    </row>
    <row r="1313" spans="1:7" x14ac:dyDescent="0.2">
      <c r="A1313" t="s">
        <v>529</v>
      </c>
      <c r="B1313" t="s">
        <v>530</v>
      </c>
      <c r="C1313">
        <v>105062.75</v>
      </c>
      <c r="D1313">
        <v>104356.22</v>
      </c>
      <c r="E1313">
        <v>0</v>
      </c>
      <c r="F1313">
        <v>0</v>
      </c>
      <c r="G1313">
        <v>706.53</v>
      </c>
    </row>
    <row r="1314" spans="1:7" x14ac:dyDescent="0.2">
      <c r="A1314" t="s">
        <v>1296</v>
      </c>
      <c r="B1314" t="s">
        <v>378</v>
      </c>
      <c r="C1314">
        <v>69418.02</v>
      </c>
      <c r="D1314">
        <v>68824.02</v>
      </c>
      <c r="E1314">
        <v>0</v>
      </c>
      <c r="F1314">
        <v>0</v>
      </c>
      <c r="G1314">
        <v>594</v>
      </c>
    </row>
    <row r="1315" spans="1:7" x14ac:dyDescent="0.2">
      <c r="A1315" t="s">
        <v>977</v>
      </c>
      <c r="B1315" t="s">
        <v>330</v>
      </c>
      <c r="C1315">
        <v>84196.160000000003</v>
      </c>
      <c r="D1315">
        <v>76128.28</v>
      </c>
      <c r="E1315">
        <v>0</v>
      </c>
      <c r="F1315">
        <v>0</v>
      </c>
      <c r="G1315">
        <v>8067.88</v>
      </c>
    </row>
    <row r="1316" spans="1:7" x14ac:dyDescent="0.2">
      <c r="A1316" t="s">
        <v>439</v>
      </c>
      <c r="B1316" t="s">
        <v>404</v>
      </c>
      <c r="C1316">
        <v>109257.43</v>
      </c>
      <c r="D1316">
        <v>93791.23</v>
      </c>
      <c r="E1316">
        <v>0</v>
      </c>
      <c r="F1316">
        <v>0</v>
      </c>
      <c r="G1316">
        <v>15466.2</v>
      </c>
    </row>
    <row r="1317" spans="1:7" x14ac:dyDescent="0.2">
      <c r="A1317" t="s">
        <v>212</v>
      </c>
      <c r="B1317" t="s">
        <v>130</v>
      </c>
      <c r="C1317">
        <v>133097.22</v>
      </c>
      <c r="D1317">
        <v>79425.490000000005</v>
      </c>
      <c r="E1317">
        <v>10654.6</v>
      </c>
      <c r="F1317">
        <v>9850</v>
      </c>
      <c r="G1317">
        <v>33167.129999999997</v>
      </c>
    </row>
    <row r="1318" spans="1:7" x14ac:dyDescent="0.2">
      <c r="A1318" t="s">
        <v>118</v>
      </c>
      <c r="B1318" t="s">
        <v>65</v>
      </c>
      <c r="C1318">
        <v>156404.18</v>
      </c>
      <c r="D1318">
        <v>94998.96</v>
      </c>
      <c r="E1318">
        <v>20297.099999999999</v>
      </c>
      <c r="F1318">
        <v>1302</v>
      </c>
      <c r="G1318">
        <v>39806.120000000003</v>
      </c>
    </row>
    <row r="1319" spans="1:7" x14ac:dyDescent="0.2">
      <c r="A1319" t="s">
        <v>394</v>
      </c>
      <c r="B1319" t="s">
        <v>265</v>
      </c>
      <c r="C1319">
        <v>111776.52</v>
      </c>
      <c r="D1319">
        <v>111620.48</v>
      </c>
      <c r="E1319">
        <v>0</v>
      </c>
      <c r="F1319">
        <v>0</v>
      </c>
      <c r="G1319">
        <v>156.04</v>
      </c>
    </row>
    <row r="1320" spans="1:7" x14ac:dyDescent="0.2">
      <c r="A1320" t="s">
        <v>1091</v>
      </c>
      <c r="B1320" t="s">
        <v>895</v>
      </c>
      <c r="C1320">
        <v>78446.070000000007</v>
      </c>
      <c r="D1320">
        <v>58901.18</v>
      </c>
      <c r="E1320">
        <v>7686.3</v>
      </c>
      <c r="F1320">
        <v>0</v>
      </c>
      <c r="G1320">
        <v>11858.59</v>
      </c>
    </row>
    <row r="1321" spans="1:7" x14ac:dyDescent="0.2">
      <c r="A1321" t="s">
        <v>1608</v>
      </c>
      <c r="B1321" t="s">
        <v>1134</v>
      </c>
      <c r="C1321">
        <v>57218.66</v>
      </c>
      <c r="D1321">
        <v>48749.58</v>
      </c>
      <c r="E1321">
        <v>1481.96</v>
      </c>
      <c r="F1321">
        <v>0</v>
      </c>
      <c r="G1321">
        <v>6987.12</v>
      </c>
    </row>
    <row r="1322" spans="1:7" x14ac:dyDescent="0.2">
      <c r="A1322" t="s">
        <v>1650</v>
      </c>
      <c r="B1322" t="s">
        <v>1134</v>
      </c>
      <c r="C1322">
        <v>55100.68</v>
      </c>
      <c r="D1322">
        <v>45763.18</v>
      </c>
      <c r="E1322">
        <v>1324.57</v>
      </c>
      <c r="F1322">
        <v>0</v>
      </c>
      <c r="G1322">
        <v>8012.93</v>
      </c>
    </row>
    <row r="1323" spans="1:7" x14ac:dyDescent="0.2">
      <c r="A1323" t="s">
        <v>798</v>
      </c>
      <c r="B1323" t="s">
        <v>799</v>
      </c>
      <c r="C1323">
        <v>94141.98</v>
      </c>
      <c r="D1323">
        <v>81414.34</v>
      </c>
      <c r="E1323">
        <v>0</v>
      </c>
      <c r="F1323">
        <v>0</v>
      </c>
      <c r="G1323">
        <v>12727.64</v>
      </c>
    </row>
    <row r="1324" spans="1:7" x14ac:dyDescent="0.2">
      <c r="A1324" t="s">
        <v>1070</v>
      </c>
      <c r="B1324" t="s">
        <v>904</v>
      </c>
      <c r="C1324">
        <v>79328.41</v>
      </c>
      <c r="D1324">
        <v>48537.120000000003</v>
      </c>
      <c r="E1324">
        <v>21619.72</v>
      </c>
      <c r="F1324">
        <v>0</v>
      </c>
      <c r="G1324">
        <v>9171.57</v>
      </c>
    </row>
    <row r="1325" spans="1:7" x14ac:dyDescent="0.2">
      <c r="A1325" t="s">
        <v>1543</v>
      </c>
      <c r="B1325" t="s">
        <v>1544</v>
      </c>
      <c r="C1325">
        <v>59953.01</v>
      </c>
      <c r="D1325">
        <v>59820.2</v>
      </c>
      <c r="E1325">
        <v>0</v>
      </c>
      <c r="F1325">
        <v>0</v>
      </c>
      <c r="G1325">
        <v>132.81</v>
      </c>
    </row>
    <row r="1326" spans="1:7" x14ac:dyDescent="0.2">
      <c r="A1326" t="s">
        <v>465</v>
      </c>
      <c r="B1326" t="s">
        <v>242</v>
      </c>
      <c r="C1326">
        <v>107889.12</v>
      </c>
      <c r="D1326">
        <v>107102.9</v>
      </c>
      <c r="E1326">
        <v>0</v>
      </c>
      <c r="F1326">
        <v>0</v>
      </c>
      <c r="G1326">
        <v>786.22</v>
      </c>
    </row>
    <row r="1327" spans="1:7" x14ac:dyDescent="0.2">
      <c r="A1327" t="s">
        <v>1449</v>
      </c>
      <c r="B1327" t="s">
        <v>1450</v>
      </c>
      <c r="C1327">
        <v>63614.53</v>
      </c>
      <c r="D1327">
        <v>62050.82</v>
      </c>
      <c r="E1327">
        <v>0</v>
      </c>
      <c r="F1327">
        <v>0</v>
      </c>
      <c r="G1327">
        <v>1563.71</v>
      </c>
    </row>
    <row r="1328" spans="1:7" x14ac:dyDescent="0.2">
      <c r="A1328" t="s">
        <v>737</v>
      </c>
      <c r="B1328" t="s">
        <v>378</v>
      </c>
      <c r="C1328">
        <v>96562.86</v>
      </c>
      <c r="D1328">
        <v>94482.51</v>
      </c>
      <c r="E1328">
        <v>0</v>
      </c>
      <c r="F1328">
        <v>0</v>
      </c>
      <c r="G1328">
        <v>2080.35</v>
      </c>
    </row>
    <row r="1329" spans="1:7" x14ac:dyDescent="0.2">
      <c r="A1329" t="s">
        <v>1424</v>
      </c>
      <c r="B1329" t="s">
        <v>404</v>
      </c>
      <c r="C1329">
        <v>64701.97</v>
      </c>
      <c r="D1329">
        <v>61718.37</v>
      </c>
      <c r="E1329">
        <v>0</v>
      </c>
      <c r="F1329">
        <v>0</v>
      </c>
      <c r="G1329">
        <v>2983.6</v>
      </c>
    </row>
    <row r="1330" spans="1:7" x14ac:dyDescent="0.2">
      <c r="A1330" t="s">
        <v>712</v>
      </c>
      <c r="B1330" t="s">
        <v>713</v>
      </c>
      <c r="C1330">
        <v>97584.04</v>
      </c>
      <c r="D1330">
        <v>95973.51</v>
      </c>
      <c r="E1330">
        <v>0</v>
      </c>
      <c r="F1330">
        <v>0</v>
      </c>
      <c r="G1330">
        <v>1610.53</v>
      </c>
    </row>
    <row r="1331" spans="1:7" x14ac:dyDescent="0.2">
      <c r="A1331" t="s">
        <v>1238</v>
      </c>
      <c r="B1331" t="s">
        <v>1239</v>
      </c>
      <c r="C1331">
        <v>71771.27</v>
      </c>
      <c r="D1331">
        <v>71034.600000000006</v>
      </c>
      <c r="E1331">
        <v>0</v>
      </c>
      <c r="F1331">
        <v>0</v>
      </c>
      <c r="G1331">
        <v>736.67</v>
      </c>
    </row>
    <row r="1332" spans="1:7" x14ac:dyDescent="0.2">
      <c r="A1332" t="s">
        <v>324</v>
      </c>
      <c r="B1332" t="s">
        <v>130</v>
      </c>
      <c r="C1332">
        <v>120066.52</v>
      </c>
      <c r="D1332">
        <v>79403.23</v>
      </c>
      <c r="E1332">
        <v>6178.54</v>
      </c>
      <c r="F1332">
        <v>0</v>
      </c>
      <c r="G1332">
        <v>34484.75</v>
      </c>
    </row>
    <row r="1333" spans="1:7" x14ac:dyDescent="0.2">
      <c r="A1333" t="s">
        <v>31</v>
      </c>
      <c r="B1333" t="s">
        <v>32</v>
      </c>
      <c r="C1333">
        <v>242369.32</v>
      </c>
      <c r="D1333">
        <v>130867.3</v>
      </c>
      <c r="E1333">
        <v>95244.11</v>
      </c>
      <c r="F1333">
        <v>0</v>
      </c>
      <c r="G1333">
        <v>16257.91</v>
      </c>
    </row>
    <row r="1334" spans="1:7" x14ac:dyDescent="0.2">
      <c r="A1334" t="s">
        <v>1473</v>
      </c>
      <c r="B1334" t="s">
        <v>378</v>
      </c>
      <c r="C1334">
        <v>62492.07</v>
      </c>
      <c r="D1334">
        <v>62492.07</v>
      </c>
      <c r="E1334">
        <v>0</v>
      </c>
      <c r="F1334">
        <v>0</v>
      </c>
      <c r="G1334">
        <v>0</v>
      </c>
    </row>
    <row r="1335" spans="1:7" x14ac:dyDescent="0.2">
      <c r="A1335" t="s">
        <v>589</v>
      </c>
      <c r="B1335" t="s">
        <v>330</v>
      </c>
      <c r="C1335">
        <v>102523.14</v>
      </c>
      <c r="D1335">
        <v>102387.8</v>
      </c>
      <c r="E1335">
        <v>0</v>
      </c>
      <c r="F1335">
        <v>0</v>
      </c>
      <c r="G1335">
        <v>135.34</v>
      </c>
    </row>
    <row r="1336" spans="1:7" x14ac:dyDescent="0.2">
      <c r="A1336" t="s">
        <v>1588</v>
      </c>
      <c r="B1336" t="s">
        <v>1589</v>
      </c>
      <c r="C1336">
        <v>58215.95</v>
      </c>
      <c r="D1336">
        <v>57809.42</v>
      </c>
      <c r="E1336">
        <v>0</v>
      </c>
      <c r="F1336">
        <v>0</v>
      </c>
      <c r="G1336">
        <v>406.53</v>
      </c>
    </row>
    <row r="1337" spans="1:7" x14ac:dyDescent="0.2">
      <c r="A1337" t="s">
        <v>1720</v>
      </c>
      <c r="B1337" t="s">
        <v>1024</v>
      </c>
      <c r="C1337">
        <v>51167.02</v>
      </c>
      <c r="D1337">
        <v>50236.79</v>
      </c>
      <c r="E1337">
        <v>133.81</v>
      </c>
      <c r="F1337">
        <v>0</v>
      </c>
      <c r="G1337">
        <v>796.42</v>
      </c>
    </row>
    <row r="1338" spans="1:7" x14ac:dyDescent="0.2">
      <c r="A1338" t="s">
        <v>1336</v>
      </c>
      <c r="B1338" t="s">
        <v>1337</v>
      </c>
      <c r="C1338">
        <v>67637.759999999995</v>
      </c>
      <c r="D1338">
        <v>67587.759999999995</v>
      </c>
      <c r="E1338">
        <v>0</v>
      </c>
      <c r="F1338">
        <v>0</v>
      </c>
      <c r="G1338">
        <v>50</v>
      </c>
    </row>
    <row r="1339" spans="1:7" x14ac:dyDescent="0.2">
      <c r="A1339" t="s">
        <v>1715</v>
      </c>
      <c r="B1339" t="s">
        <v>1716</v>
      </c>
      <c r="C1339">
        <v>51784.6</v>
      </c>
      <c r="D1339">
        <v>51784.6</v>
      </c>
      <c r="E1339">
        <v>0</v>
      </c>
      <c r="F1339">
        <v>0</v>
      </c>
      <c r="G1339">
        <v>0</v>
      </c>
    </row>
    <row r="1340" spans="1:7" x14ac:dyDescent="0.2">
      <c r="A1340" t="s">
        <v>937</v>
      </c>
      <c r="B1340" t="s">
        <v>701</v>
      </c>
      <c r="C1340">
        <v>86754.63</v>
      </c>
      <c r="D1340">
        <v>73652.52</v>
      </c>
      <c r="E1340">
        <v>0</v>
      </c>
      <c r="F1340">
        <v>0</v>
      </c>
      <c r="G1340">
        <v>13102.11</v>
      </c>
    </row>
    <row r="1341" spans="1:7" x14ac:dyDescent="0.2">
      <c r="A1341" t="s">
        <v>1279</v>
      </c>
      <c r="B1341" t="s">
        <v>895</v>
      </c>
      <c r="C1341">
        <v>69781.259999999995</v>
      </c>
      <c r="D1341">
        <v>56227.360000000001</v>
      </c>
      <c r="E1341">
        <v>5155.8100000000004</v>
      </c>
      <c r="F1341">
        <v>0</v>
      </c>
      <c r="G1341">
        <v>8398.09</v>
      </c>
    </row>
    <row r="1342" spans="1:7" x14ac:dyDescent="0.2">
      <c r="A1342" t="s">
        <v>463</v>
      </c>
      <c r="B1342" t="s">
        <v>330</v>
      </c>
      <c r="C1342">
        <v>108031.42</v>
      </c>
      <c r="D1342">
        <v>103928.05</v>
      </c>
      <c r="E1342">
        <v>0</v>
      </c>
      <c r="F1342">
        <v>0</v>
      </c>
      <c r="G1342">
        <v>4103.37</v>
      </c>
    </row>
    <row r="1343" spans="1:7" x14ac:dyDescent="0.2">
      <c r="A1343" t="s">
        <v>279</v>
      </c>
      <c r="B1343" t="s">
        <v>130</v>
      </c>
      <c r="C1343">
        <v>123397.32</v>
      </c>
      <c r="D1343">
        <v>81898.240000000005</v>
      </c>
      <c r="E1343">
        <v>9598.6299999999992</v>
      </c>
      <c r="F1343">
        <v>980</v>
      </c>
      <c r="G1343">
        <v>30920.45</v>
      </c>
    </row>
    <row r="1344" spans="1:7" x14ac:dyDescent="0.2">
      <c r="A1344" t="s">
        <v>72</v>
      </c>
      <c r="B1344" t="s">
        <v>56</v>
      </c>
      <c r="C1344">
        <v>186613.7</v>
      </c>
      <c r="D1344">
        <v>123404.59</v>
      </c>
      <c r="E1344">
        <v>16252.29</v>
      </c>
      <c r="F1344">
        <v>0</v>
      </c>
      <c r="G1344">
        <v>46956.82</v>
      </c>
    </row>
    <row r="1345" spans="1:7" x14ac:dyDescent="0.2">
      <c r="A1345" t="s">
        <v>403</v>
      </c>
      <c r="B1345" t="s">
        <v>404</v>
      </c>
      <c r="C1345">
        <v>111177.23</v>
      </c>
      <c r="D1345">
        <v>91637.87</v>
      </c>
      <c r="E1345">
        <v>0</v>
      </c>
      <c r="F1345">
        <v>0</v>
      </c>
      <c r="G1345">
        <v>19539.36</v>
      </c>
    </row>
    <row r="1346" spans="1:7" x14ac:dyDescent="0.2">
      <c r="A1346" t="s">
        <v>676</v>
      </c>
      <c r="B1346" t="s">
        <v>130</v>
      </c>
      <c r="C1346">
        <v>99039.86</v>
      </c>
      <c r="D1346">
        <v>75657.06</v>
      </c>
      <c r="E1346">
        <v>1764.75</v>
      </c>
      <c r="F1346">
        <v>0</v>
      </c>
      <c r="G1346">
        <v>21618.05</v>
      </c>
    </row>
    <row r="1347" spans="1:7" x14ac:dyDescent="0.2">
      <c r="A1347" t="s">
        <v>1008</v>
      </c>
      <c r="B1347" t="s">
        <v>330</v>
      </c>
      <c r="C1347">
        <v>82010.94</v>
      </c>
      <c r="D1347">
        <v>82010.94</v>
      </c>
      <c r="E1347">
        <v>0</v>
      </c>
      <c r="F1347">
        <v>0</v>
      </c>
      <c r="G1347">
        <v>0</v>
      </c>
    </row>
    <row r="1348" spans="1:7" x14ac:dyDescent="0.2">
      <c r="A1348" t="s">
        <v>537</v>
      </c>
      <c r="B1348" t="s">
        <v>492</v>
      </c>
      <c r="C1348">
        <v>104799.4</v>
      </c>
      <c r="D1348">
        <v>80041</v>
      </c>
      <c r="E1348">
        <v>14315.11</v>
      </c>
      <c r="F1348">
        <v>0</v>
      </c>
      <c r="G1348">
        <v>10443.290000000001</v>
      </c>
    </row>
    <row r="1349" spans="1:7" x14ac:dyDescent="0.2">
      <c r="A1349" t="s">
        <v>552</v>
      </c>
      <c r="B1349" t="s">
        <v>162</v>
      </c>
      <c r="C1349">
        <v>104194.91</v>
      </c>
      <c r="D1349">
        <v>59207.08</v>
      </c>
      <c r="E1349">
        <v>30646.720000000001</v>
      </c>
      <c r="F1349">
        <v>0</v>
      </c>
      <c r="G1349">
        <v>14341.11</v>
      </c>
    </row>
    <row r="1350" spans="1:7" x14ac:dyDescent="0.2">
      <c r="A1350" t="s">
        <v>1103</v>
      </c>
      <c r="B1350" t="s">
        <v>330</v>
      </c>
      <c r="C1350">
        <v>78042.100000000006</v>
      </c>
      <c r="D1350">
        <v>77282.100000000006</v>
      </c>
      <c r="E1350">
        <v>0</v>
      </c>
      <c r="F1350">
        <v>0</v>
      </c>
      <c r="G1350">
        <v>760</v>
      </c>
    </row>
    <row r="1351" spans="1:7" x14ac:dyDescent="0.2">
      <c r="A1351" t="s">
        <v>54</v>
      </c>
      <c r="B1351" t="s">
        <v>28</v>
      </c>
      <c r="C1351">
        <v>203549.84</v>
      </c>
      <c r="D1351">
        <v>153769.29999999999</v>
      </c>
      <c r="E1351">
        <v>28539.72</v>
      </c>
      <c r="F1351">
        <v>1548</v>
      </c>
      <c r="G1351">
        <v>19692.82</v>
      </c>
    </row>
    <row r="1352" spans="1:7" x14ac:dyDescent="0.2">
      <c r="A1352" t="s">
        <v>1341</v>
      </c>
      <c r="B1352" t="s">
        <v>380</v>
      </c>
      <c r="C1352">
        <v>67465.490000000005</v>
      </c>
      <c r="D1352">
        <v>56933.31</v>
      </c>
      <c r="E1352">
        <v>2963.55</v>
      </c>
      <c r="F1352">
        <v>0</v>
      </c>
      <c r="G1352">
        <v>7568.63</v>
      </c>
    </row>
    <row r="1353" spans="1:7" x14ac:dyDescent="0.2">
      <c r="A1353" t="s">
        <v>1515</v>
      </c>
      <c r="B1353" t="s">
        <v>378</v>
      </c>
      <c r="C1353">
        <v>61200.07</v>
      </c>
      <c r="D1353">
        <v>59992.07</v>
      </c>
      <c r="E1353">
        <v>0</v>
      </c>
      <c r="F1353">
        <v>0</v>
      </c>
      <c r="G1353">
        <v>1208</v>
      </c>
    </row>
    <row r="1354" spans="1:7" x14ac:dyDescent="0.2">
      <c r="A1354" t="s">
        <v>603</v>
      </c>
      <c r="B1354" t="s">
        <v>330</v>
      </c>
      <c r="C1354">
        <v>102095.94</v>
      </c>
      <c r="D1354">
        <v>101326.8</v>
      </c>
      <c r="E1354">
        <v>0</v>
      </c>
      <c r="F1354">
        <v>0</v>
      </c>
      <c r="G1354">
        <v>769.14</v>
      </c>
    </row>
    <row r="1355" spans="1:7" x14ac:dyDescent="0.2">
      <c r="A1355" t="s">
        <v>1169</v>
      </c>
      <c r="B1355" t="s">
        <v>448</v>
      </c>
      <c r="C1355">
        <v>76191.14</v>
      </c>
      <c r="D1355">
        <v>75666.14</v>
      </c>
      <c r="E1355">
        <v>0</v>
      </c>
      <c r="F1355">
        <v>0</v>
      </c>
      <c r="G1355">
        <v>525</v>
      </c>
    </row>
    <row r="1356" spans="1:7" x14ac:dyDescent="0.2">
      <c r="A1356" t="s">
        <v>1534</v>
      </c>
      <c r="B1356" t="s">
        <v>1028</v>
      </c>
      <c r="C1356">
        <v>60133.68</v>
      </c>
      <c r="D1356">
        <v>53068.37</v>
      </c>
      <c r="E1356">
        <v>349.76</v>
      </c>
      <c r="F1356">
        <v>3385.66</v>
      </c>
      <c r="G1356">
        <v>3329.89</v>
      </c>
    </row>
    <row r="1357" spans="1:7" x14ac:dyDescent="0.2">
      <c r="A1357" t="s">
        <v>629</v>
      </c>
      <c r="B1357" t="s">
        <v>378</v>
      </c>
      <c r="C1357">
        <v>100782.77</v>
      </c>
      <c r="D1357">
        <v>87665.77</v>
      </c>
      <c r="E1357">
        <v>0</v>
      </c>
      <c r="F1357">
        <v>0</v>
      </c>
      <c r="G1357">
        <v>13117</v>
      </c>
    </row>
    <row r="1358" spans="1:7" x14ac:dyDescent="0.2">
      <c r="A1358" t="s">
        <v>827</v>
      </c>
      <c r="B1358" t="s">
        <v>378</v>
      </c>
      <c r="C1358">
        <v>92863.76</v>
      </c>
      <c r="D1358">
        <v>90723.26</v>
      </c>
      <c r="E1358">
        <v>0</v>
      </c>
      <c r="F1358">
        <v>0</v>
      </c>
      <c r="G1358">
        <v>2140.5</v>
      </c>
    </row>
    <row r="1359" spans="1:7" x14ac:dyDescent="0.2">
      <c r="A1359" t="s">
        <v>1048</v>
      </c>
      <c r="B1359" t="s">
        <v>1049</v>
      </c>
      <c r="C1359">
        <v>80037.13</v>
      </c>
      <c r="D1359">
        <v>78549.789999999994</v>
      </c>
      <c r="E1359">
        <v>742.79</v>
      </c>
      <c r="F1359">
        <v>0</v>
      </c>
      <c r="G1359">
        <v>744.55</v>
      </c>
    </row>
    <row r="1360" spans="1:7" x14ac:dyDescent="0.2">
      <c r="A1360" t="s">
        <v>726</v>
      </c>
      <c r="B1360" t="s">
        <v>330</v>
      </c>
      <c r="C1360">
        <v>97110.43</v>
      </c>
      <c r="D1360">
        <v>92582.43</v>
      </c>
      <c r="E1360">
        <v>0</v>
      </c>
      <c r="F1360">
        <v>0</v>
      </c>
      <c r="G1360">
        <v>4528</v>
      </c>
    </row>
    <row r="1361" spans="1:7" x14ac:dyDescent="0.2">
      <c r="A1361" t="s">
        <v>36</v>
      </c>
      <c r="B1361" t="s">
        <v>34</v>
      </c>
      <c r="C1361">
        <v>225991.66</v>
      </c>
      <c r="D1361">
        <v>115128.15</v>
      </c>
      <c r="E1361">
        <v>31088.93</v>
      </c>
      <c r="F1361">
        <v>69374</v>
      </c>
      <c r="G1361">
        <v>10400.58</v>
      </c>
    </row>
    <row r="1362" spans="1:7" x14ac:dyDescent="0.2">
      <c r="A1362" t="s">
        <v>370</v>
      </c>
      <c r="B1362" t="s">
        <v>130</v>
      </c>
      <c r="C1362">
        <v>114191.7</v>
      </c>
      <c r="D1362">
        <v>76564.03</v>
      </c>
      <c r="E1362">
        <v>10578.83</v>
      </c>
      <c r="F1362">
        <v>0</v>
      </c>
      <c r="G1362">
        <v>27048.84</v>
      </c>
    </row>
    <row r="1363" spans="1:7" x14ac:dyDescent="0.2">
      <c r="A1363" t="s">
        <v>1235</v>
      </c>
      <c r="B1363" t="s">
        <v>378</v>
      </c>
      <c r="C1363">
        <v>71976.03</v>
      </c>
      <c r="D1363">
        <v>71976.03</v>
      </c>
      <c r="E1363">
        <v>0</v>
      </c>
      <c r="F1363">
        <v>0</v>
      </c>
      <c r="G1363">
        <v>0</v>
      </c>
    </row>
    <row r="1364" spans="1:7" x14ac:dyDescent="0.2">
      <c r="A1364" t="s">
        <v>1725</v>
      </c>
      <c r="B1364" t="s">
        <v>1726</v>
      </c>
      <c r="C1364">
        <v>50766.1</v>
      </c>
      <c r="D1364">
        <v>50766.1</v>
      </c>
      <c r="E1364">
        <v>0</v>
      </c>
      <c r="F1364">
        <v>0</v>
      </c>
      <c r="G1364">
        <v>0</v>
      </c>
    </row>
    <row r="1365" spans="1:7" x14ac:dyDescent="0.2">
      <c r="A1365" t="s">
        <v>382</v>
      </c>
      <c r="B1365" t="s">
        <v>383</v>
      </c>
      <c r="C1365">
        <v>112677.12</v>
      </c>
      <c r="D1365">
        <v>110873.16</v>
      </c>
      <c r="E1365">
        <v>0</v>
      </c>
      <c r="F1365">
        <v>0</v>
      </c>
      <c r="G1365">
        <v>1803.96</v>
      </c>
    </row>
    <row r="1366" spans="1:7" x14ac:dyDescent="0.2">
      <c r="A1366" t="s">
        <v>1565</v>
      </c>
      <c r="B1366" t="s">
        <v>1492</v>
      </c>
      <c r="C1366">
        <v>59132.25</v>
      </c>
      <c r="D1366">
        <v>58482.25</v>
      </c>
      <c r="E1366">
        <v>0</v>
      </c>
      <c r="F1366">
        <v>0</v>
      </c>
      <c r="G1366">
        <v>650</v>
      </c>
    </row>
    <row r="1367" spans="1:7" x14ac:dyDescent="0.2">
      <c r="A1367" t="s">
        <v>1043</v>
      </c>
      <c r="B1367" t="s">
        <v>1044</v>
      </c>
      <c r="C1367">
        <v>80355.960000000006</v>
      </c>
      <c r="D1367">
        <v>80355.960000000006</v>
      </c>
      <c r="E1367">
        <v>0</v>
      </c>
      <c r="F1367">
        <v>0</v>
      </c>
      <c r="G1367">
        <v>0</v>
      </c>
    </row>
    <row r="1368" spans="1:7" x14ac:dyDescent="0.2">
      <c r="A1368" t="s">
        <v>1667</v>
      </c>
      <c r="B1368" t="s">
        <v>1028</v>
      </c>
      <c r="C1368">
        <v>54202.12</v>
      </c>
      <c r="D1368">
        <v>49213.73</v>
      </c>
      <c r="E1368">
        <v>139.93</v>
      </c>
      <c r="F1368">
        <v>339.93</v>
      </c>
      <c r="G1368">
        <v>4508.53</v>
      </c>
    </row>
    <row r="1369" spans="1:7" x14ac:dyDescent="0.2">
      <c r="A1369" t="s">
        <v>1323</v>
      </c>
      <c r="B1369" t="s">
        <v>378</v>
      </c>
      <c r="C1369">
        <v>68254.89</v>
      </c>
      <c r="D1369">
        <v>65836.89</v>
      </c>
      <c r="E1369">
        <v>0</v>
      </c>
      <c r="F1369">
        <v>0</v>
      </c>
      <c r="G1369">
        <v>2418</v>
      </c>
    </row>
    <row r="1370" spans="1:7" x14ac:dyDescent="0.2">
      <c r="A1370" t="s">
        <v>716</v>
      </c>
      <c r="B1370" t="s">
        <v>302</v>
      </c>
      <c r="C1370">
        <v>97535.28</v>
      </c>
      <c r="D1370">
        <v>96837.26</v>
      </c>
      <c r="E1370">
        <v>0</v>
      </c>
      <c r="F1370">
        <v>0</v>
      </c>
      <c r="G1370">
        <v>698.02</v>
      </c>
    </row>
    <row r="1371" spans="1:7" x14ac:dyDescent="0.2">
      <c r="A1371" t="s">
        <v>933</v>
      </c>
      <c r="B1371" t="s">
        <v>378</v>
      </c>
      <c r="C1371">
        <v>87247.77</v>
      </c>
      <c r="D1371">
        <v>86065.77</v>
      </c>
      <c r="E1371">
        <v>0</v>
      </c>
      <c r="F1371">
        <v>0</v>
      </c>
      <c r="G1371">
        <v>1182</v>
      </c>
    </row>
    <row r="1372" spans="1:7" x14ac:dyDescent="0.2">
      <c r="A1372" t="s">
        <v>452</v>
      </c>
      <c r="B1372" t="s">
        <v>378</v>
      </c>
      <c r="C1372">
        <v>108428.54</v>
      </c>
      <c r="D1372">
        <v>100726.84</v>
      </c>
      <c r="E1372">
        <v>0</v>
      </c>
      <c r="F1372">
        <v>0</v>
      </c>
      <c r="G1372">
        <v>7701.7</v>
      </c>
    </row>
    <row r="1373" spans="1:7" x14ac:dyDescent="0.2">
      <c r="A1373" t="s">
        <v>1452</v>
      </c>
      <c r="B1373" t="s">
        <v>1049</v>
      </c>
      <c r="C1373">
        <v>63549.54</v>
      </c>
      <c r="D1373">
        <v>59422.95</v>
      </c>
      <c r="E1373">
        <v>0</v>
      </c>
      <c r="F1373">
        <v>0</v>
      </c>
      <c r="G1373">
        <v>4126.59</v>
      </c>
    </row>
    <row r="1374" spans="1:7" x14ac:dyDescent="0.2">
      <c r="A1374" t="s">
        <v>443</v>
      </c>
      <c r="B1374" t="s">
        <v>330</v>
      </c>
      <c r="C1374">
        <v>109063.78</v>
      </c>
      <c r="D1374">
        <v>100735.78</v>
      </c>
      <c r="E1374">
        <v>0</v>
      </c>
      <c r="F1374">
        <v>0</v>
      </c>
      <c r="G1374">
        <v>8328</v>
      </c>
    </row>
    <row r="1375" spans="1:7" x14ac:dyDescent="0.2">
      <c r="A1375" t="s">
        <v>1274</v>
      </c>
      <c r="B1375" t="s">
        <v>404</v>
      </c>
      <c r="C1375">
        <v>70238.25</v>
      </c>
      <c r="D1375">
        <v>69833.25</v>
      </c>
      <c r="E1375">
        <v>0</v>
      </c>
      <c r="F1375">
        <v>0</v>
      </c>
      <c r="G1375">
        <v>405</v>
      </c>
    </row>
    <row r="1376" spans="1:7" x14ac:dyDescent="0.2">
      <c r="A1376" t="s">
        <v>556</v>
      </c>
      <c r="B1376" t="s">
        <v>130</v>
      </c>
      <c r="C1376">
        <v>104113.5</v>
      </c>
      <c r="D1376">
        <v>76646.69</v>
      </c>
      <c r="E1376">
        <v>0</v>
      </c>
      <c r="F1376">
        <v>0</v>
      </c>
      <c r="G1376">
        <v>27466.81</v>
      </c>
    </row>
    <row r="1377" spans="1:7" x14ac:dyDescent="0.2">
      <c r="A1377" t="s">
        <v>1033</v>
      </c>
      <c r="B1377" t="s">
        <v>1034</v>
      </c>
      <c r="C1377">
        <v>80769.22</v>
      </c>
      <c r="D1377">
        <v>80769.22</v>
      </c>
      <c r="E1377">
        <v>0</v>
      </c>
      <c r="F1377">
        <v>0</v>
      </c>
      <c r="G1377">
        <v>0</v>
      </c>
    </row>
    <row r="1378" spans="1:7" x14ac:dyDescent="0.2">
      <c r="A1378" t="s">
        <v>1077</v>
      </c>
      <c r="B1378" t="s">
        <v>433</v>
      </c>
      <c r="C1378">
        <v>79037.3</v>
      </c>
      <c r="D1378">
        <v>78502.3</v>
      </c>
      <c r="E1378">
        <v>0</v>
      </c>
      <c r="F1378">
        <v>0</v>
      </c>
      <c r="G1378">
        <v>535</v>
      </c>
    </row>
    <row r="1379" spans="1:7" x14ac:dyDescent="0.2">
      <c r="A1379" t="s">
        <v>1504</v>
      </c>
      <c r="B1379" t="s">
        <v>1505</v>
      </c>
      <c r="C1379">
        <v>61620.71</v>
      </c>
      <c r="D1379">
        <v>60328.88</v>
      </c>
      <c r="E1379">
        <v>0</v>
      </c>
      <c r="F1379">
        <v>0</v>
      </c>
      <c r="G1379">
        <v>1291.83</v>
      </c>
    </row>
    <row r="1380" spans="1:7" x14ac:dyDescent="0.2">
      <c r="A1380" t="s">
        <v>1493</v>
      </c>
      <c r="B1380" t="s">
        <v>1319</v>
      </c>
      <c r="C1380">
        <v>61815.67</v>
      </c>
      <c r="D1380">
        <v>53461.46</v>
      </c>
      <c r="E1380">
        <v>0</v>
      </c>
      <c r="F1380">
        <v>0</v>
      </c>
      <c r="G1380">
        <v>8354.2099999999991</v>
      </c>
    </row>
    <row r="1381" spans="1:7" x14ac:dyDescent="0.2">
      <c r="A1381" t="s">
        <v>1402</v>
      </c>
      <c r="B1381" t="s">
        <v>879</v>
      </c>
      <c r="C1381">
        <v>65526.67</v>
      </c>
      <c r="D1381">
        <v>31790.95</v>
      </c>
      <c r="E1381">
        <v>21716.09</v>
      </c>
      <c r="F1381">
        <v>0</v>
      </c>
      <c r="G1381">
        <v>12019.63</v>
      </c>
    </row>
    <row r="1382" spans="1:7" x14ac:dyDescent="0.2">
      <c r="A1382" t="s">
        <v>1175</v>
      </c>
      <c r="B1382" t="s">
        <v>378</v>
      </c>
      <c r="C1382">
        <v>75559.95</v>
      </c>
      <c r="D1382">
        <v>75559.95</v>
      </c>
      <c r="E1382">
        <v>0</v>
      </c>
      <c r="F1382">
        <v>0</v>
      </c>
      <c r="G1382">
        <v>0</v>
      </c>
    </row>
    <row r="1383" spans="1:7" x14ac:dyDescent="0.2">
      <c r="A1383" t="s">
        <v>161</v>
      </c>
      <c r="B1383" t="s">
        <v>162</v>
      </c>
      <c r="C1383">
        <v>144700.97</v>
      </c>
      <c r="D1383">
        <v>58710.18</v>
      </c>
      <c r="E1383">
        <v>67672.509999999995</v>
      </c>
      <c r="F1383">
        <v>0</v>
      </c>
      <c r="G1383">
        <v>18318.28</v>
      </c>
    </row>
    <row r="1384" spans="1:7" x14ac:dyDescent="0.2">
      <c r="A1384" t="s">
        <v>1233</v>
      </c>
      <c r="B1384" t="s">
        <v>378</v>
      </c>
      <c r="C1384">
        <v>72063.58</v>
      </c>
      <c r="D1384">
        <v>70909.66</v>
      </c>
      <c r="E1384">
        <v>0</v>
      </c>
      <c r="F1384">
        <v>0</v>
      </c>
      <c r="G1384">
        <v>1153.92</v>
      </c>
    </row>
    <row r="1385" spans="1:7" x14ac:dyDescent="0.2">
      <c r="A1385" t="s">
        <v>1363</v>
      </c>
      <c r="B1385" t="s">
        <v>378</v>
      </c>
      <c r="C1385">
        <v>66706.100000000006</v>
      </c>
      <c r="D1385">
        <v>66534.48</v>
      </c>
      <c r="E1385">
        <v>0</v>
      </c>
      <c r="F1385">
        <v>0</v>
      </c>
      <c r="G1385">
        <v>171.62</v>
      </c>
    </row>
    <row r="1386" spans="1:7" x14ac:dyDescent="0.2">
      <c r="A1386" t="s">
        <v>528</v>
      </c>
      <c r="B1386" t="s">
        <v>346</v>
      </c>
      <c r="C1386">
        <v>105071.12</v>
      </c>
      <c r="D1386">
        <v>62556.54</v>
      </c>
      <c r="E1386">
        <v>27705.9</v>
      </c>
      <c r="F1386">
        <v>0</v>
      </c>
      <c r="G1386">
        <v>14808.68</v>
      </c>
    </row>
    <row r="1387" spans="1:7" x14ac:dyDescent="0.2">
      <c r="A1387" t="s">
        <v>1255</v>
      </c>
      <c r="B1387" t="s">
        <v>895</v>
      </c>
      <c r="C1387">
        <v>70884.23</v>
      </c>
      <c r="D1387">
        <v>56519</v>
      </c>
      <c r="E1387">
        <v>1724.39</v>
      </c>
      <c r="F1387">
        <v>0</v>
      </c>
      <c r="G1387">
        <v>12640.84</v>
      </c>
    </row>
    <row r="1388" spans="1:7" x14ac:dyDescent="0.2">
      <c r="A1388" t="s">
        <v>1535</v>
      </c>
      <c r="B1388" t="s">
        <v>378</v>
      </c>
      <c r="C1388">
        <v>60096.08</v>
      </c>
      <c r="D1388">
        <v>59485.08</v>
      </c>
      <c r="E1388">
        <v>0</v>
      </c>
      <c r="F1388">
        <v>0</v>
      </c>
      <c r="G1388">
        <v>611</v>
      </c>
    </row>
    <row r="1389" spans="1:7" x14ac:dyDescent="0.2">
      <c r="A1389" t="s">
        <v>221</v>
      </c>
      <c r="B1389" t="s">
        <v>222</v>
      </c>
      <c r="C1389">
        <v>131610.87</v>
      </c>
      <c r="D1389">
        <v>130097.07</v>
      </c>
      <c r="E1389">
        <v>0</v>
      </c>
      <c r="F1389">
        <v>0</v>
      </c>
      <c r="G1389">
        <v>1513.8</v>
      </c>
    </row>
    <row r="1390" spans="1:7" x14ac:dyDescent="0.2">
      <c r="A1390" t="s">
        <v>810</v>
      </c>
      <c r="B1390" t="s">
        <v>811</v>
      </c>
      <c r="C1390">
        <v>93403.5</v>
      </c>
      <c r="D1390">
        <v>91070.19</v>
      </c>
      <c r="E1390">
        <v>0</v>
      </c>
      <c r="F1390">
        <v>0</v>
      </c>
      <c r="G1390">
        <v>2333.31</v>
      </c>
    </row>
    <row r="1391" spans="1:7" x14ac:dyDescent="0.2">
      <c r="A1391" t="s">
        <v>924</v>
      </c>
      <c r="B1391" t="s">
        <v>687</v>
      </c>
      <c r="C1391">
        <v>87789.89</v>
      </c>
      <c r="D1391">
        <v>61964.19</v>
      </c>
      <c r="E1391">
        <v>319.33</v>
      </c>
      <c r="F1391">
        <v>0</v>
      </c>
      <c r="G1391">
        <v>25506.37</v>
      </c>
    </row>
    <row r="1392" spans="1:7" x14ac:dyDescent="0.2">
      <c r="A1392" t="s">
        <v>1699</v>
      </c>
      <c r="B1392" t="s">
        <v>404</v>
      </c>
      <c r="C1392">
        <v>52832.79</v>
      </c>
      <c r="D1392">
        <v>51025.29</v>
      </c>
      <c r="E1392">
        <v>0</v>
      </c>
      <c r="F1392">
        <v>0</v>
      </c>
      <c r="G1392">
        <v>1807.5</v>
      </c>
    </row>
    <row r="1393" spans="1:7" x14ac:dyDescent="0.2">
      <c r="A1393" t="s">
        <v>1249</v>
      </c>
      <c r="B1393" t="s">
        <v>378</v>
      </c>
      <c r="C1393">
        <v>71089.960000000006</v>
      </c>
      <c r="D1393">
        <v>70966.960000000006</v>
      </c>
      <c r="E1393">
        <v>0</v>
      </c>
      <c r="F1393">
        <v>0</v>
      </c>
      <c r="G1393">
        <v>123</v>
      </c>
    </row>
    <row r="1394" spans="1:7" x14ac:dyDescent="0.2">
      <c r="A1394" t="s">
        <v>120</v>
      </c>
      <c r="B1394" t="s">
        <v>121</v>
      </c>
      <c r="C1394">
        <v>155882.29</v>
      </c>
      <c r="D1394">
        <v>154484</v>
      </c>
      <c r="E1394">
        <v>0</v>
      </c>
      <c r="F1394">
        <v>0</v>
      </c>
      <c r="G1394">
        <v>1398.29</v>
      </c>
    </row>
    <row r="1395" spans="1:7" x14ac:dyDescent="0.2">
      <c r="A1395" t="s">
        <v>780</v>
      </c>
      <c r="B1395" t="s">
        <v>404</v>
      </c>
      <c r="C1395">
        <v>94630.42</v>
      </c>
      <c r="D1395">
        <v>92967.28</v>
      </c>
      <c r="E1395">
        <v>0</v>
      </c>
      <c r="F1395">
        <v>0</v>
      </c>
      <c r="G1395">
        <v>1663.14</v>
      </c>
    </row>
    <row r="1396" spans="1:7" x14ac:dyDescent="0.2">
      <c r="A1396" t="s">
        <v>198</v>
      </c>
      <c r="B1396" t="s">
        <v>24</v>
      </c>
      <c r="C1396">
        <v>135230.06</v>
      </c>
      <c r="D1396">
        <v>71932.38</v>
      </c>
      <c r="E1396">
        <v>30205.5</v>
      </c>
      <c r="F1396">
        <v>20671</v>
      </c>
      <c r="G1396">
        <v>12421.18</v>
      </c>
    </row>
    <row r="1397" spans="1:7" x14ac:dyDescent="0.2">
      <c r="A1397" t="s">
        <v>765</v>
      </c>
      <c r="B1397" t="s">
        <v>378</v>
      </c>
      <c r="C1397">
        <v>95506.880000000005</v>
      </c>
      <c r="D1397">
        <v>93257.72</v>
      </c>
      <c r="E1397">
        <v>0</v>
      </c>
      <c r="F1397">
        <v>0</v>
      </c>
      <c r="G1397">
        <v>2249.16</v>
      </c>
    </row>
    <row r="1398" spans="1:7" x14ac:dyDescent="0.2">
      <c r="A1398" t="s">
        <v>1574</v>
      </c>
      <c r="B1398" t="s">
        <v>330</v>
      </c>
      <c r="C1398">
        <v>58718.37</v>
      </c>
      <c r="D1398">
        <v>58718.37</v>
      </c>
      <c r="E1398">
        <v>0</v>
      </c>
      <c r="F1398">
        <v>0</v>
      </c>
      <c r="G1398">
        <v>0</v>
      </c>
    </row>
    <row r="1399" spans="1:7" x14ac:dyDescent="0.2">
      <c r="A1399" t="s">
        <v>1031</v>
      </c>
      <c r="B1399" t="s">
        <v>378</v>
      </c>
      <c r="C1399">
        <v>80867.34</v>
      </c>
      <c r="D1399">
        <v>79173.81</v>
      </c>
      <c r="E1399">
        <v>0</v>
      </c>
      <c r="F1399">
        <v>0</v>
      </c>
      <c r="G1399">
        <v>1693.53</v>
      </c>
    </row>
    <row r="1400" spans="1:7" x14ac:dyDescent="0.2">
      <c r="A1400" t="s">
        <v>809</v>
      </c>
      <c r="B1400" t="s">
        <v>330</v>
      </c>
      <c r="C1400">
        <v>93538.92</v>
      </c>
      <c r="D1400">
        <v>92874.72</v>
      </c>
      <c r="E1400">
        <v>0</v>
      </c>
      <c r="F1400">
        <v>0</v>
      </c>
      <c r="G1400">
        <v>664.2</v>
      </c>
    </row>
    <row r="1401" spans="1:7" x14ac:dyDescent="0.2">
      <c r="A1401" t="s">
        <v>621</v>
      </c>
      <c r="B1401" t="s">
        <v>330</v>
      </c>
      <c r="C1401">
        <v>101192.07</v>
      </c>
      <c r="D1401">
        <v>101192.07</v>
      </c>
      <c r="E1401">
        <v>0</v>
      </c>
      <c r="F1401">
        <v>0</v>
      </c>
      <c r="G1401">
        <v>0</v>
      </c>
    </row>
    <row r="1402" spans="1:7" x14ac:dyDescent="0.2">
      <c r="A1402" t="s">
        <v>1379</v>
      </c>
      <c r="B1402" t="s">
        <v>1380</v>
      </c>
      <c r="C1402">
        <v>66207.42</v>
      </c>
      <c r="D1402">
        <v>66207.42</v>
      </c>
      <c r="E1402">
        <v>0</v>
      </c>
      <c r="F1402">
        <v>0</v>
      </c>
      <c r="G1402">
        <v>0</v>
      </c>
    </row>
    <row r="1403" spans="1:7" x14ac:dyDescent="0.2">
      <c r="A1403" t="s">
        <v>1117</v>
      </c>
      <c r="B1403" t="s">
        <v>1041</v>
      </c>
      <c r="C1403">
        <v>77535.039999999994</v>
      </c>
      <c r="D1403">
        <v>52892.639999999999</v>
      </c>
      <c r="E1403">
        <v>12412.97</v>
      </c>
      <c r="F1403">
        <v>0</v>
      </c>
      <c r="G1403">
        <v>12229.43</v>
      </c>
    </row>
    <row r="1404" spans="1:7" x14ac:dyDescent="0.2">
      <c r="A1404" t="s">
        <v>264</v>
      </c>
      <c r="B1404" t="s">
        <v>265</v>
      </c>
      <c r="C1404">
        <v>124812.23</v>
      </c>
      <c r="D1404">
        <v>124683.19</v>
      </c>
      <c r="E1404">
        <v>0</v>
      </c>
      <c r="F1404">
        <v>0</v>
      </c>
      <c r="G1404">
        <v>129.04</v>
      </c>
    </row>
    <row r="1405" spans="1:7" x14ac:dyDescent="0.2">
      <c r="A1405" t="s">
        <v>1241</v>
      </c>
      <c r="B1405" t="s">
        <v>265</v>
      </c>
      <c r="C1405">
        <v>71658.45</v>
      </c>
      <c r="D1405">
        <v>71528.509999999995</v>
      </c>
      <c r="E1405">
        <v>0</v>
      </c>
      <c r="F1405">
        <v>0</v>
      </c>
      <c r="G1405">
        <v>129.94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Outcomes</vt:lpstr>
      <vt:lpstr>Table</vt:lpstr>
      <vt:lpstr>Freeze Example</vt:lpstr>
      <vt:lpstr>Xlookup and Vlookup</vt:lpstr>
      <vt:lpstr>Pivot</vt:lpstr>
      <vt:lpstr>Table - Somerville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2016-02-10T00:46:55Z</dcterms:created>
  <dcterms:modified xsi:type="dcterms:W3CDTF">2026-09-02T15:09:07Z</dcterms:modified>
</cp:coreProperties>
</file>