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ndg00008\Dropbox\Courses\ACCT 321 Spring 2023\_shared\Excel files\"/>
    </mc:Choice>
  </mc:AlternateContent>
  <xr:revisionPtr revIDLastSave="0" documentId="13_ncr:1_{9A63847D-8550-4EF6-B14F-9CA81439870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verview" sheetId="2" r:id="rId1"/>
    <sheet name="True False" sheetId="1" r:id="rId2"/>
    <sheet name="And Or Not" sheetId="3" r:id="rId3"/>
    <sheet name="If" sheetId="4" r:id="rId4"/>
    <sheet name="If States" sheetId="7" r:id="rId5"/>
    <sheet name="IF Discounts" sheetId="5" r:id="rId6"/>
    <sheet name="IF Commission" sheetId="8" r:id="rId7"/>
    <sheet name="Nested If" sheetId="9" r:id="rId8"/>
    <sheet name="Added If" sheetId="10" r:id="rId9"/>
  </sheets>
  <definedNames>
    <definedName name="bolts" localSheetId="8">#REF!</definedName>
    <definedName name="bolts" localSheetId="6">#REF!</definedName>
    <definedName name="bolts" localSheetId="4">#REF!</definedName>
    <definedName name="bolts" localSheetId="7">#REF!</definedName>
    <definedName name="bolts">If!$C$14</definedName>
    <definedName name="chickens" localSheetId="8">#REF!</definedName>
    <definedName name="chickens" localSheetId="6">#REF!</definedName>
    <definedName name="chickens" localSheetId="4">#REF!</definedName>
    <definedName name="chickens" localSheetId="7">#REF!</definedName>
    <definedName name="chickens">'True False'!$C$31</definedName>
    <definedName name="cows" localSheetId="8">#REF!</definedName>
    <definedName name="cows" localSheetId="6">#REF!</definedName>
    <definedName name="cows" localSheetId="4">#REF!</definedName>
    <definedName name="cows" localSheetId="7">#REF!</definedName>
    <definedName name="cows">'And Or Not'!$C$13</definedName>
    <definedName name="duck" localSheetId="8">#REF!</definedName>
    <definedName name="duck" localSheetId="7">#REF!</definedName>
    <definedName name="duck">#REF!</definedName>
    <definedName name="ducks">'True False'!$C$32</definedName>
    <definedName name="gecko" localSheetId="8">#REF!</definedName>
    <definedName name="gecko" localSheetId="7">#REF!</definedName>
    <definedName name="gecko">#REF!</definedName>
    <definedName name="geckos">'And Or Not'!$C$11</definedName>
    <definedName name="kkkk" localSheetId="8">#REF!</definedName>
    <definedName name="kkkk" localSheetId="7">#REF!</definedName>
    <definedName name="kkkk">#REF!</definedName>
    <definedName name="nails" localSheetId="8">#REF!</definedName>
    <definedName name="nails" localSheetId="6">#REF!</definedName>
    <definedName name="nails" localSheetId="4">#REF!</definedName>
    <definedName name="nails" localSheetId="7">#REF!</definedName>
    <definedName name="nails">If!$C$12</definedName>
    <definedName name="nnn" localSheetId="8">#REF!</definedName>
    <definedName name="nnn" localSheetId="7">#REF!</definedName>
    <definedName name="nnn">#REF!</definedName>
    <definedName name="nuts" localSheetId="8">#REF!</definedName>
    <definedName name="nuts" localSheetId="6">#REF!</definedName>
    <definedName name="nuts" localSheetId="4">#REF!</definedName>
    <definedName name="nuts" localSheetId="7">#REF!</definedName>
    <definedName name="nuts">If!$C$15</definedName>
    <definedName name="puppies" localSheetId="8">#REF!</definedName>
    <definedName name="puppies" localSheetId="6">#REF!</definedName>
    <definedName name="puppies" localSheetId="4">#REF!</definedName>
    <definedName name="puppies" localSheetId="7">#REF!</definedName>
    <definedName name="puppies">'And Or Not'!$C$12</definedName>
    <definedName name="screws" localSheetId="8">#REF!</definedName>
    <definedName name="screws" localSheetId="6">#REF!</definedName>
    <definedName name="screws" localSheetId="4">#REF!</definedName>
    <definedName name="screws" localSheetId="7">#REF!</definedName>
    <definedName name="screws">If!$C$13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6" i="10" l="1"/>
  <c r="C36" i="10"/>
  <c r="B36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D34" i="9"/>
  <c r="C34" i="9"/>
  <c r="B34" i="9"/>
  <c r="D33" i="9"/>
  <c r="C33" i="9"/>
  <c r="B33" i="9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5" i="5"/>
  <c r="C18" i="4"/>
  <c r="C24" i="1"/>
  <c r="C23" i="1"/>
  <c r="C22" i="1"/>
  <c r="C17" i="4"/>
  <c r="C16" i="4"/>
  <c r="C17" i="3"/>
  <c r="C16" i="3"/>
  <c r="C15" i="3"/>
  <c r="C14" i="3"/>
  <c r="C20" i="1"/>
  <c r="C21" i="1"/>
  <c r="C19" i="1"/>
  <c r="C16" i="1"/>
  <c r="C15" i="1"/>
  <c r="B45" i="1"/>
  <c r="B35" i="1"/>
  <c r="B32" i="3"/>
  <c r="B39" i="1"/>
  <c r="B36" i="1"/>
  <c r="B25" i="4"/>
  <c r="B30" i="4"/>
  <c r="B15" i="3"/>
  <c r="B23" i="3"/>
  <c r="B18" i="4"/>
  <c r="B23" i="4"/>
  <c r="B42" i="1"/>
  <c r="B19" i="1"/>
  <c r="B31" i="4"/>
  <c r="B29" i="4"/>
  <c r="B15" i="1"/>
  <c r="B38" i="1"/>
  <c r="B40" i="1"/>
  <c r="B16" i="4"/>
  <c r="B24" i="1"/>
  <c r="B17" i="4"/>
  <c r="B29" i="3"/>
  <c r="B33" i="3"/>
  <c r="B28" i="4"/>
  <c r="B16" i="3"/>
  <c r="B21" i="1"/>
  <c r="B26" i="3"/>
  <c r="B30" i="3"/>
  <c r="B44" i="1"/>
  <c r="B14" i="3"/>
  <c r="B43" i="1"/>
  <c r="B23" i="1"/>
  <c r="B34" i="1"/>
  <c r="B34" i="3"/>
  <c r="B31" i="3"/>
  <c r="B24" i="4"/>
  <c r="B17" i="3"/>
  <c r="B16" i="1"/>
  <c r="B33" i="1"/>
  <c r="B47" i="1"/>
  <c r="B22" i="3"/>
  <c r="B41" i="1"/>
  <c r="B20" i="1"/>
  <c r="B25" i="3"/>
  <c r="B27" i="4"/>
  <c r="B28" i="3"/>
  <c r="B46" i="1"/>
  <c r="B37" i="1"/>
  <c r="B27" i="3"/>
  <c r="B26" i="4"/>
  <c r="B22" i="1"/>
  <c r="B24" i="3"/>
</calcChain>
</file>

<file path=xl/sharedStrings.xml><?xml version="1.0" encoding="utf-8"?>
<sst xmlns="http://schemas.openxmlformats.org/spreadsheetml/2006/main" count="467" uniqueCount="261">
  <si>
    <t/>
  </si>
  <si>
    <t>Back to outcomes sheet</t>
  </si>
  <si>
    <t>Booleans are a way of using true and false values in Excel.</t>
  </si>
  <si>
    <t xml:space="preserve">The most basic test uses the equals sign. </t>
  </si>
  <si>
    <t>The first example is true, since 1 equals 1.</t>
  </si>
  <si>
    <t>The second example is false, since 1 doesn't equal 2.</t>
  </si>
  <si>
    <t>Input</t>
  </si>
  <si>
    <t>We can also use references.</t>
  </si>
  <si>
    <t>This tests to see if the cell is equal to 20.</t>
  </si>
  <si>
    <t>We can use a number of comparisons.</t>
  </si>
  <si>
    <t>a=b is true if they're the same value.</t>
  </si>
  <si>
    <t>a&lt;b will be true if a is smaller than b.</t>
  </si>
  <si>
    <t>a&gt;b will be true if a is larger than b.</t>
  </si>
  <si>
    <t>a&gt;=b is true if a is larger or equal.</t>
  </si>
  <si>
    <t>a&lt;=b is true if a is smaller or equal.</t>
  </si>
  <si>
    <t>Another equal</t>
  </si>
  <si>
    <t>Less than</t>
  </si>
  <si>
    <t>Greater than</t>
  </si>
  <si>
    <t>Less than or equal to</t>
  </si>
  <si>
    <t>Greater than or equal to</t>
  </si>
  <si>
    <t>Duck</t>
  </si>
  <si>
    <t>Are there the same number of chickens and ducks?</t>
  </si>
  <si>
    <t>Are there more chickens than ducks?</t>
  </si>
  <si>
    <t>Are there less chickens than ducks?</t>
  </si>
  <si>
    <t>Chickens</t>
  </si>
  <si>
    <t>Create the formulas below.</t>
  </si>
  <si>
    <t>Are there less than 10 ducks?</t>
  </si>
  <si>
    <t>Are there more than or equal to 11 chickens?</t>
  </si>
  <si>
    <t>We can also use a number of functions.</t>
  </si>
  <si>
    <t>not(true) will return false.</t>
  </si>
  <si>
    <t>and(a,b,c) will return true if *all* of them are true.</t>
  </si>
  <si>
    <t>or(a b) will return true as long as something is true.</t>
  </si>
  <si>
    <t>Puppies</t>
  </si>
  <si>
    <t>Cows</t>
  </si>
  <si>
    <t>Gecko</t>
  </si>
  <si>
    <t>Are there more than 3 geckos?</t>
  </si>
  <si>
    <t>Are there not more than 3 geckos?</t>
  </si>
  <si>
    <t>Are there more than 3 geckos and 3 cows?</t>
  </si>
  <si>
    <t>Are there either more than 3 geckos and 2 puppies?</t>
  </si>
  <si>
    <t>Are there the same number of cows and puppies?</t>
  </si>
  <si>
    <t>Are there more cows than puppies?</t>
  </si>
  <si>
    <t>Are there more than  2 cows and less than 5 puppies?</t>
  </si>
  <si>
    <t>Do we have more than 2 of any animal?</t>
  </si>
  <si>
    <t>Do we have fewer than 10 animals, and more than 1 cow?</t>
  </si>
  <si>
    <t>Now that you understand booleans, we can create if functions.</t>
  </si>
  <si>
    <t>The first part is the thing we are testing.</t>
  </si>
  <si>
    <t>The second is what will be returned if it is true.</t>
  </si>
  <si>
    <t>The third is what will be return if it is false.</t>
  </si>
  <si>
    <t>Nails</t>
  </si>
  <si>
    <t>Screws</t>
  </si>
  <si>
    <t>Nuts</t>
  </si>
  <si>
    <t>=IF(first_part, second_part, third_part)</t>
  </si>
  <si>
    <t>Use a boolean to see if we have more than 10 nails.</t>
  </si>
  <si>
    <t>Return 1 if we have more than 10 nails, or 2 otherwise.</t>
  </si>
  <si>
    <t>Return "Yes" if we have 10 nails, or "No" if not.</t>
  </si>
  <si>
    <t>Bolts</t>
  </si>
  <si>
    <t>Say Yes if we have more than 30 nails and 15 screws, or No if not.</t>
  </si>
  <si>
    <t>Say "No go" if we have fewer than 20 nails or fewer than 30 bolts.</t>
  </si>
  <si>
    <t>If we have more nails than bolts, then say "Nails", otherwise "Bolts"</t>
  </si>
  <si>
    <t>Do we have a matching number of bolts &amp; nuts? Return Yes or No.</t>
  </si>
  <si>
    <t>Do we have more bolts or screws?  Return the larger number.</t>
  </si>
  <si>
    <t>Say Yes if we have fewer than 100 nails and more than 30 bolts.</t>
  </si>
  <si>
    <t>Do we have more than 5 geckos, or more than 5 puppies, or more than 5 cows?</t>
  </si>
  <si>
    <t>True and False</t>
  </si>
  <si>
    <t>And, Or, &amp; Not</t>
  </si>
  <si>
    <t>If Functions</t>
  </si>
  <si>
    <t>If we buy two more ducks, will we have the same number of ducks and chickens?</t>
  </si>
  <si>
    <t>Can our truck (with capacity for 15 animals) transport all of them?</t>
  </si>
  <si>
    <t>If we sold half of our cows, would we have more than 5 animals?</t>
  </si>
  <si>
    <t>If we have more than 10 bolts, return the number of screws.  Otherwise, say "FAIL"</t>
  </si>
  <si>
    <t>Say "build" if we have more than 10 nails, screws, and bolts (or not otherwise)</t>
  </si>
  <si>
    <t>Do we have more bolts or screws?  Say either "bolts" or "Screws"</t>
  </si>
  <si>
    <t>Name</t>
  </si>
  <si>
    <t>Primary Segment</t>
  </si>
  <si>
    <t>Units Sold</t>
  </si>
  <si>
    <t>Age Dec.31</t>
  </si>
  <si>
    <t>Able</t>
  </si>
  <si>
    <t>High</t>
  </si>
  <si>
    <t>Athena</t>
  </si>
  <si>
    <t>Bold</t>
  </si>
  <si>
    <t>Cat</t>
  </si>
  <si>
    <t>Cool</t>
  </si>
  <si>
    <t>Dud</t>
  </si>
  <si>
    <t>Dud2</t>
  </si>
  <si>
    <t>Fast</t>
  </si>
  <si>
    <t>Feast</t>
  </si>
  <si>
    <t>Apollo</t>
  </si>
  <si>
    <t>Low</t>
  </si>
  <si>
    <t>Brite</t>
  </si>
  <si>
    <t>Cake</t>
  </si>
  <si>
    <t>Daze</t>
  </si>
  <si>
    <t>Daze2</t>
  </si>
  <si>
    <t>Eat</t>
  </si>
  <si>
    <t>East</t>
  </si>
  <si>
    <t>Sale Price</t>
  </si>
  <si>
    <t>New Sales Price</t>
  </si>
  <si>
    <t>If we sold ducks for $10, and chickens for $15, would we earn $100?</t>
  </si>
  <si>
    <t>Do we have at least 2x as many ducks as chickens?</t>
  </si>
  <si>
    <t>Do we have exactly 10 times as many ducks as chickens?</t>
  </si>
  <si>
    <t>Are chickens over 10?</t>
  </si>
  <si>
    <t>Are ducks over 10?</t>
  </si>
  <si>
    <t>Do we have exactly 18 ducks?</t>
  </si>
  <si>
    <t>If we sell half of the ducks, will we have an equal number of ducks and chickens?</t>
  </si>
  <si>
    <t>If we sell half of the ducks, and a third of the chickens, will we have an equal number?</t>
  </si>
  <si>
    <t>Do we have more than 5 geckos, puppies, and cows combined?</t>
  </si>
  <si>
    <t>Do we not have fewer than 10 of any animal?</t>
  </si>
  <si>
    <t>If we sell half of the cows, and buy two new geckos, would we have 10 animals?</t>
  </si>
  <si>
    <t>If we double the puppies, and triple the cows, would they number more than the geckos?</t>
  </si>
  <si>
    <t>If each we buy two of each animal, will we have at least 5 of each type?</t>
  </si>
  <si>
    <t>If we get rid of all of our puppies, would we not have exactly 10 animals?</t>
  </si>
  <si>
    <t>Calculate Coupons</t>
  </si>
  <si>
    <t>Data</t>
  </si>
  <si>
    <t>Ending Value</t>
  </si>
  <si>
    <t xml:space="preserve">If Age is over 3, give a 10% discount. </t>
  </si>
  <si>
    <t>If segment is high, add $500 premium.</t>
  </si>
  <si>
    <t>If Units Sold between 500-1000, give a 5% discount</t>
  </si>
  <si>
    <t>If Age &gt; 3 OR Units Sold over 1000, then give 10% discount</t>
  </si>
  <si>
    <t>Area in miles.</t>
  </si>
  <si>
    <t>State</t>
  </si>
  <si>
    <t>Population</t>
  </si>
  <si>
    <t>Land</t>
  </si>
  <si>
    <t>Water</t>
  </si>
  <si>
    <t>Which have 1m or more people?</t>
  </si>
  <si>
    <t>Which states start with either A or C?</t>
  </si>
  <si>
    <t>Which have over 50k land and over 10k water?</t>
  </si>
  <si>
    <t>Which have under 1m people or less than 100k land?</t>
  </si>
  <si>
    <t>Which states have population over average?</t>
  </si>
  <si>
    <t>Which states containing an "A" in their name have over 10k water?</t>
  </si>
  <si>
    <t>Which states end with an "S" or start with an "A"?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</si>
  <si>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</si>
  <si>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</si>
  <si>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</si>
  <si>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</si>
  <si>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</si>
  <si>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</si>
  <si>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</si>
  <si>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</si>
  <si>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</si>
  <si>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</si>
  <si>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</si>
  <si>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</si>
  <si>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</si>
  <si>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</si>
  <si>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</si>
  <si>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</si>
  <si>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</si>
  <si>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</si>
  <si>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</si>
  <si>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</si>
  <si>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</si>
  <si>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</si>
  <si>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</si>
  <si>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</si>
  <si>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</si>
  <si>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</si>
  <si>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</si>
  <si>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</si>
  <si>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</si>
  <si>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</si>
  <si>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</si>
  <si>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</si>
  <si>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</si>
  <si>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</si>
  <si>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</si>
  <si>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</si>
  <si>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</si>
  <si>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</si>
  <si>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</si>
  <si>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</si>
  <si>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</si>
  <si>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</si>
  <si>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</si>
  <si>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</si>
  <si>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</si>
  <si>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</si>
  <si>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</si>
  <si>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Washington, D. C.</t>
  </si>
  <si>
    <t>West Virginia</t>
  </si>
  <si>
    <t>Wisconsin</t>
  </si>
  <si>
    <t>Wyoming</t>
  </si>
  <si>
    <t>Minimum Commission</t>
  </si>
  <si>
    <t>Maximum Commission</t>
  </si>
  <si>
    <t>High Segment Commission Rate</t>
  </si>
  <si>
    <t>Low Segment Commission Rate</t>
  </si>
  <si>
    <t>Year</t>
  </si>
  <si>
    <t>Month</t>
  </si>
  <si>
    <t>Segment</t>
  </si>
  <si>
    <t>Sales (in dollars)</t>
  </si>
  <si>
    <t>Give the commission rate for the sale</t>
  </si>
  <si>
    <t>Calculate the commission in dollars.</t>
  </si>
  <si>
    <t>Give the commission in $, making sure that they at least earn the minimum commission</t>
  </si>
  <si>
    <t>Give the commission in $, making sure that they earn under the maximum ceiling</t>
  </si>
  <si>
    <t>Give the commission with an additional  $500 bonus for sales over 10,000.</t>
  </si>
  <si>
    <t>Give the commission, but if the sale was in 2016, deduct 10% for taxes.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</si>
  <si>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</si>
  <si>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</si>
  <si>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</si>
  <si>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</si>
  <si>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</si>
  <si>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</si>
  <si>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</si>
  <si>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</si>
  <si>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</si>
  <si>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</si>
  <si>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</si>
  <si>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</si>
  <si>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Nested If Functions</t>
  </si>
  <si>
    <t>One of the most useful features in Excel allows you to put functions inside of each other.</t>
  </si>
  <si>
    <t>This is called "nesting" a function.  It uses the result from one function as the input for another.</t>
  </si>
  <si>
    <t>This allows 3-part If statements.</t>
  </si>
  <si>
    <t>As an example, assume that we have 3 types of colors, each with a different reward.</t>
  </si>
  <si>
    <t>Blue</t>
  </si>
  <si>
    <t>Red</t>
  </si>
  <si>
    <t>Yellow</t>
  </si>
  <si>
    <t>We have a large list of these, and want to create an IF statement to automatically generate the results.</t>
  </si>
  <si>
    <t>Each column gives an increasing complex solution.</t>
  </si>
  <si>
    <t>First Column</t>
  </si>
  <si>
    <r>
      <t>=IF(</t>
    </r>
    <r>
      <rPr>
        <sz val="12"/>
        <color theme="1"/>
        <rFont val="Calibri"/>
        <family val="2"/>
        <scheme val="minor"/>
      </rPr>
      <t>A24</t>
    </r>
    <r>
      <rPr>
        <sz val="12"/>
        <color theme="1"/>
        <rFont val="Calibri"/>
        <family val="2"/>
        <scheme val="minor"/>
      </rPr>
      <t>="Blue", 10, 0)</t>
    </r>
  </si>
  <si>
    <t>This first solution gives the correct answer for "Blue"</t>
  </si>
  <si>
    <t>Second Column</t>
  </si>
  <si>
    <t>=IF(A24="Blue", 10, 20)</t>
  </si>
  <si>
    <t>This gives the right solution for Blue and Red, but not yellow.</t>
  </si>
  <si>
    <t>Third Column</t>
  </si>
  <si>
    <r>
      <t>=IF(</t>
    </r>
    <r>
      <rPr>
        <sz val="12"/>
        <color theme="1"/>
        <rFont val="Calibri"/>
        <family val="2"/>
        <scheme val="minor"/>
      </rPr>
      <t>A24</t>
    </r>
    <r>
      <rPr>
        <sz val="12"/>
        <color theme="1"/>
        <rFont val="Calibri"/>
        <family val="2"/>
        <scheme val="minor"/>
      </rPr>
      <t>="Blue", 10, if</t>
    </r>
    <r>
      <rPr>
        <sz val="12"/>
        <color theme="1"/>
        <rFont val="Calibri"/>
        <family val="2"/>
        <scheme val="minor"/>
      </rPr>
      <t>(</t>
    </r>
    <r>
      <rPr>
        <sz val="12"/>
        <color theme="1"/>
        <rFont val="Calibri"/>
        <family val="2"/>
        <scheme val="minor"/>
      </rPr>
      <t>a24</t>
    </r>
    <r>
      <rPr>
        <sz val="12"/>
        <color theme="1"/>
        <rFont val="Calibri"/>
        <family val="2"/>
        <scheme val="minor"/>
      </rPr>
      <t>="Red", 20, 30</t>
    </r>
    <r>
      <rPr>
        <sz val="12"/>
        <color theme="1"/>
        <rFont val="Calibri"/>
        <family val="2"/>
        <scheme val="minor"/>
      </rPr>
      <t>)</t>
    </r>
    <r>
      <rPr>
        <sz val="12"/>
        <color theme="1"/>
        <rFont val="Calibri"/>
        <family val="2"/>
        <scheme val="minor"/>
      </rPr>
      <t>)</t>
    </r>
  </si>
  <si>
    <t xml:space="preserve">The third solution "nests" another IF statement inside of the false condition.  </t>
  </si>
  <si>
    <t>If we're not blue, then we're looking to see if we are Red or Yellow.</t>
  </si>
  <si>
    <t>If Red, then the other results must be yellow</t>
  </si>
  <si>
    <t>Color</t>
  </si>
  <si>
    <t xml:space="preserve">First </t>
  </si>
  <si>
    <t>Second</t>
  </si>
  <si>
    <t>Third</t>
  </si>
  <si>
    <t>We have a 3 part option.</t>
  </si>
  <si>
    <t xml:space="preserve">If California, then have a $1000 bonus. </t>
  </si>
  <si>
    <t>If in Oklahoma, then have a $500 bonus.</t>
  </si>
  <si>
    <t>Otherwise, have no bonus.</t>
  </si>
  <si>
    <t>Bonus</t>
  </si>
  <si>
    <t>This has a 4-part solution.</t>
  </si>
  <si>
    <t>If in Texas, then have a $250 bonus.</t>
  </si>
  <si>
    <t>This has a 5-part solution.</t>
  </si>
  <si>
    <t>If in Washington, then have a $100 bonus.</t>
  </si>
  <si>
    <t>Now, add a message based on the commission.</t>
  </si>
  <si>
    <t>Commissions in California should say "Go dude!"</t>
  </si>
  <si>
    <t>Commissions in Texas should say "Cowabunga"</t>
  </si>
  <si>
    <t>Commissions in Idago should say "Freshhhhhh"</t>
  </si>
  <si>
    <t>Message</t>
  </si>
  <si>
    <t>Added If Function</t>
  </si>
  <si>
    <t>Nesting works for short solutions, but has some limitations.</t>
  </si>
  <si>
    <t>One of the main is that it is difficult to match up the () when you have several functions deeply nested.</t>
  </si>
  <si>
    <t>An alterative is to have multiple If statements, and to join the results.</t>
  </si>
  <si>
    <t>If you have a number result, then take advantage of adding 0 to a number doesn't change the number.</t>
  </si>
  <si>
    <t>If you have a text result, then joining "" to a string doesn't change it.</t>
  </si>
  <si>
    <t>=IF(A28="Blue", 10, 0)</t>
  </si>
  <si>
    <t>=IF(A28="Blue", 10, 0) + if(a28="Red", 20, 0)</t>
  </si>
  <si>
    <t xml:space="preserve">This gives the right solution for Blue and Red, but not yellow.  </t>
  </si>
  <si>
    <t>=IF(A28="Blue", 10, 0) + if(a28="Red", 20, 0) + if(a28="Yellow", 30, 0)</t>
  </si>
  <si>
    <t>This gives the correct answer for all 3 conditions.</t>
  </si>
  <si>
    <t>It takes advantage of the fact that adding 0 to anything doesn't change the number.</t>
  </si>
  <si>
    <t>Complex Logical Tests</t>
  </si>
  <si>
    <t>Modifying a value through IF</t>
  </si>
  <si>
    <t xml:space="preserve">Calculate a value </t>
  </si>
  <si>
    <t>If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</si>
</sst>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;[Red]\-&quot;$&quot;#,##0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indexed="8"/>
      <name val="Arial Hebrew"/>
      <charset val="177"/>
    </font>
    <font>
      <b/>
      <sz val="20"/>
      <color theme="1"/>
      <name val="Arial Hebrew"/>
      <charset val="177"/>
    </font>
    <font>
      <u/>
      <sz val="12"/>
      <color theme="10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5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horizontal="left" indent="1"/>
    </xf>
    <xf numFmtId="1" fontId="11" fillId="5" borderId="1" xfId="0" applyNumberFormat="1" applyFont="1" applyFill="1" applyBorder="1"/>
    <xf numFmtId="0" fontId="11" fillId="0" borderId="0" xfId="0" applyFont="1"/>
    <xf numFmtId="14" fontId="11" fillId="0" borderId="0" xfId="0" applyNumberFormat="1" applyFont="1"/>
    <xf numFmtId="0" fontId="6" fillId="4" borderId="0" xfId="0" applyFont="1" applyFill="1"/>
    <xf numFmtId="0" fontId="0" fillId="0" borderId="0" xfId="0" applyAlignment="1">
      <alignment horizontal="left" vertical="top"/>
    </xf>
    <xf numFmtId="0" fontId="0" fillId="0" borderId="0" xfId="0" quotePrefix="1"/>
    <xf numFmtId="0" fontId="11" fillId="0" borderId="0" xfId="0" quotePrefix="1" applyFont="1"/>
    <xf numFmtId="2" fontId="6" fillId="4" borderId="0" xfId="0" applyNumberFormat="1" applyFont="1" applyFill="1"/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left" indent="1"/>
    </xf>
    <xf numFmtId="164" fontId="0" fillId="3" borderId="0" xfId="0" applyNumberFormat="1" applyFill="1"/>
    <xf numFmtId="0" fontId="0" fillId="3" borderId="0" xfId="0" applyFill="1"/>
    <xf numFmtId="0" fontId="0" fillId="8" borderId="0" xfId="0" applyFill="1"/>
    <xf numFmtId="164" fontId="0" fillId="8" borderId="0" xfId="0" applyNumberFormat="1" applyFill="1"/>
    <xf numFmtId="0" fontId="0" fillId="0" borderId="0" xfId="0" applyAlignment="1">
      <alignment vertical="center" wrapText="1"/>
    </xf>
    <xf numFmtId="0" fontId="6" fillId="9" borderId="0" xfId="0" applyFont="1" applyFill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7" borderId="0" xfId="0" applyNumberFormat="1" applyFill="1"/>
    <xf numFmtId="0" fontId="13" fillId="10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0" fillId="0" borderId="0" xfId="3" applyNumberFormat="1" applyFont="1"/>
    <xf numFmtId="0" fontId="0" fillId="0" borderId="2" xfId="0" applyBorder="1"/>
    <xf numFmtId="9" fontId="0" fillId="0" borderId="2" xfId="0" applyNumberFormat="1" applyBorder="1"/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0" fillId="0" borderId="0" xfId="2" applyNumberFormat="1" applyFont="1"/>
    <xf numFmtId="44" fontId="0" fillId="0" borderId="0" xfId="0" applyNumberFormat="1"/>
    <xf numFmtId="164" fontId="0" fillId="0" borderId="0" xfId="0" applyNumberFormat="1"/>
    <xf numFmtId="0" fontId="0" fillId="0" borderId="4" xfId="0" applyBorder="1" applyAlignment="1">
      <alignment horizontal="left" indent="2"/>
    </xf>
    <xf numFmtId="166" fontId="0" fillId="0" borderId="5" xfId="0" applyNumberFormat="1" applyBorder="1"/>
    <xf numFmtId="0" fontId="0" fillId="0" borderId="8" xfId="0" applyBorder="1" applyAlignment="1">
      <alignment horizontal="left" indent="2"/>
    </xf>
    <xf numFmtId="166" fontId="0" fillId="0" borderId="9" xfId="0" applyNumberFormat="1" applyBorder="1"/>
    <xf numFmtId="0" fontId="0" fillId="0" borderId="6" xfId="0" applyBorder="1" applyAlignment="1">
      <alignment horizontal="left" indent="2"/>
    </xf>
    <xf numFmtId="166" fontId="0" fillId="0" borderId="7" xfId="0" applyNumberFormat="1" applyBorder="1"/>
    <xf numFmtId="0" fontId="0" fillId="0" borderId="0" xfId="0" applyAlignment="1">
      <alignment horizontal="left"/>
    </xf>
    <xf numFmtId="0" fontId="0" fillId="11" borderId="0" xfId="0" applyFill="1"/>
    <xf numFmtId="49" fontId="0" fillId="12" borderId="0" xfId="0" applyNumberFormat="1" applyFill="1"/>
    <xf numFmtId="0" fontId="16" fillId="0" borderId="0" xfId="0" applyFont="1"/>
    <xf numFmtId="0" fontId="0" fillId="0" borderId="0" xfId="0" applyAlignment="1">
      <alignment horizontal="left" indent="2"/>
    </xf>
    <xf numFmtId="49" fontId="0" fillId="12" borderId="0" xfId="0" applyNumberFormat="1" applyFill="1" applyAlignment="1">
      <alignment wrapText="1"/>
    </xf>
    <xf numFmtId="0" fontId="0" fillId="0" borderId="0" xfId="0" applyAlignment="1">
      <alignment wrapText="1"/>
    </xf>
    <xf numFmtId="0" fontId="0" fillId="6" borderId="0" xfId="0" applyFill="1" applyAlignment="1">
      <alignment horizontal="center"/>
    </xf>
    <xf numFmtId="0" fontId="9" fillId="0" borderId="0" xfId="1" applyAlignment="1">
      <alignment horizontal="left"/>
    </xf>
    <xf numFmtId="0" fontId="6" fillId="9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/>
    </xf>
  </cellXfs>
  <cellStyles count="4">
    <cellStyle name="Comma" xfId="3" builtinId="3"/>
    <cellStyle name="Currency" xfId="2" builtinId="4"/>
    <cellStyle name="Hyperlink" xfId="1" builtinId="8"/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C4A789-CB2A-154D-88F5-C8E60C8BD095}" name="Table1" displayName="Table1" ref="A4:K55" totalsRowShown="0" headerRowDxfId="22">
  <autoFilter ref="A4:K55" xr:uid="{3E084DB7-24BB-2842-8520-F827D7DFF2A3}"/>
  <tableColumns count="11">
    <tableColumn id="1" xr3:uid="{114D5296-9D14-EE49-9A01-3A3A9711F993}" name="State"/>
    <tableColumn id="2" xr3:uid="{3FEB0991-AE80-5441-B289-C7C8D260E0E1}" name="Population" dataDxfId="21" dataCellStyle="Comma"/>
    <tableColumn id="3" xr3:uid="{B2C3096C-6DF5-7E46-988E-BA2FD854AC32}" name="Land" dataDxfId="20" dataCellStyle="Comma"/>
    <tableColumn id="4" xr3:uid="{9A8B4201-FE74-1049-B98B-BDDF6B53ADD4}" name="Water" dataDxfId="19" dataCellStyle="Comma"/>
    <tableColumn id="5" xr3:uid="{D3D3373B-FCD6-A943-ABB3-0078EEEA763A}" name="Which have 1m or more people?" dataDxfId="18" dataCellStyle="Comma"/>
    <tableColumn id="6" xr3:uid="{2971A825-0463-2D45-AFA6-AF9790D9B99E}" name="Which states start with either A or C?" dataDxfId="17" dataCellStyle="Comma"/>
    <tableColumn id="7" xr3:uid="{F5D5791D-9751-BB49-B15C-64846A55ACFB}" name="Which have over 50k land and over 10k water?" dataDxfId="16" dataCellStyle="Comma"/>
    <tableColumn id="8" xr3:uid="{99214E75-1B9D-B74C-BB10-A15DD7AFE686}" name="Which have under 1m people or less than 100k land?" dataDxfId="15" dataCellStyle="Comma"/>
    <tableColumn id="10" xr3:uid="{A7EE73B8-A731-5847-BE02-186ACB3536D2}" name="Which states containing an &quot;A&quot; in their name have over 10k water?" dataDxfId="14" dataCellStyle="Comma"/>
    <tableColumn id="12" xr3:uid="{8CBCBF3E-5073-9040-A551-EB13FA0DE8AE}" name="Which states end with an &quot;S&quot; or start with an &quot;A&quot;?" dataDxfId="13" dataCellStyle="Comma"/>
    <tableColumn id="9" xr3:uid="{3D1BD5BC-714C-9743-A98B-D9F342EFEFDA}" name="Which states have population over average?" dataDxfId="12" dataCellStyle="Comma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8FAB107-51CA-8540-BAA3-A73D76BCE337}" name="Table12" displayName="Table12" ref="A8:J24" totalsRowShown="0" headerRowDxfId="11">
  <autoFilter ref="A8:J24" xr:uid="{68FAB107-51CA-8540-BAA3-A73D76BCE337}"/>
  <tableColumns count="10">
    <tableColumn id="1" xr3:uid="{4F946890-7773-BB4F-BF83-03ED296C8793}" name="Year"/>
    <tableColumn id="2" xr3:uid="{579E6A3D-2556-CB4A-9979-B0A2F4525344}" name="Month"/>
    <tableColumn id="3" xr3:uid="{37A8385E-F227-8241-A08D-E207042040E0}" name="Segment"/>
    <tableColumn id="4" xr3:uid="{07E291E3-6043-0141-9D8A-6F242A5A8B06}" name="Sales (in dollars)" dataDxfId="10" dataCellStyle="Currency"/>
    <tableColumn id="5" xr3:uid="{977548BD-AB64-F641-9550-8995098AECAE}" name="Give the commission rate for the sale"/>
    <tableColumn id="6" xr3:uid="{E361826A-4264-364B-A3DA-92AAB4DB3464}" name="Calculate the commission in dollars." dataDxfId="9"/>
    <tableColumn id="7" xr3:uid="{AD99B258-F9B1-3B44-9DDE-9D8B4810C412}" name="Give the commission in $, making sure that they at least earn the minimum commission" dataDxfId="8"/>
    <tableColumn id="8" xr3:uid="{6FDC22A1-9E94-004E-904F-B6ABAC030E31}" name="Give the commission in $, making sure that they earn under the maximum ceiling" dataDxfId="7"/>
    <tableColumn id="9" xr3:uid="{47E17D8F-FB57-1642-B863-353EDA0D8FE6}" name="Give the commission with an additional  $500 bonus for sales over 10,000." dataDxfId="6"/>
    <tableColumn id="10" xr3:uid="{68C60F69-C3DB-1947-B1B2-899DF99CFF1D}" name="Give the commission, but if the sale was in 2016, deduct 10% for taxes.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8DF423-0566-0F46-A7B8-DB9DC7D45221}" name="Table13" displayName="Table13" ref="A25:D34" totalsRowShown="0">
  <autoFilter ref="A25:D34" xr:uid="{00000000-0009-0000-0100-000001000000}"/>
  <tableColumns count="4">
    <tableColumn id="1" xr3:uid="{7D2EBE20-662B-BE46-80AE-632EBF1C4431}" name="Color"/>
    <tableColumn id="2" xr3:uid="{2E19AC3A-D441-CF40-973C-29FA627C36C6}" name="First " dataDxfId="5">
      <calculatedColumnFormula>IF(Table13[[#This Row],[Color]]="Blue", 10, 0)</calculatedColumnFormula>
    </tableColumn>
    <tableColumn id="3" xr3:uid="{22DA4293-285B-D742-97C6-1F7AED2A6506}" name="Second" dataDxfId="4">
      <calculatedColumnFormula>IF(Table13[[#This Row],[Color]]="Blue", 10, 20)</calculatedColumnFormula>
    </tableColumn>
    <tableColumn id="5" xr3:uid="{2EC87F1B-DE0D-254B-9B15-59FADA34E96E}" name="Third" dataDxfId="3">
      <calculatedColumnFormula>IF(A24="Blue", 10, IF(A24="Red", 20, 30))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19BC46-05C3-3D4F-98EB-CFA008276678}" name="Table2" displayName="Table2" ref="A45:B54" totalsRowShown="0">
  <autoFilter ref="A45:B54" xr:uid="{00000000-0009-0000-0100-000002000000}"/>
  <tableColumns count="2">
    <tableColumn id="1" xr3:uid="{BDF5EE5B-063B-754B-A988-9F9CD4B1ACCF}" name="State"/>
    <tableColumn id="2" xr3:uid="{EC61C40E-EC05-9148-A052-FEF809166474}" name="Bon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B9F074-FA0C-1D4E-A6B6-05A69776C7A2}" name="Table24" displayName="Table24" ref="A63:B75" totalsRowShown="0">
  <autoFilter ref="A63:B75" xr:uid="{00000000-0009-0000-0100-000003000000}"/>
  <tableColumns count="2">
    <tableColumn id="1" xr3:uid="{CCF016E5-3EDA-1444-B581-636AA91C621A}" name="State"/>
    <tableColumn id="2" xr3:uid="{9ACAB566-DAC7-5B45-85BD-FF7CB5E02DAE}" name="Bon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B2D283-C433-C243-8A3C-16DC66CE94DF}" name="Table245" displayName="Table245" ref="A86:B98" totalsRowShown="0">
  <autoFilter ref="A86:B98" xr:uid="{00000000-0009-0000-0100-000004000000}"/>
  <tableColumns count="2">
    <tableColumn id="1" xr3:uid="{330DBBDB-7E9A-2143-97DE-447E69ECC035}" name="State"/>
    <tableColumn id="2" xr3:uid="{9BA44DAB-9DCA-3A4A-99AF-FB08CCC5ECBA}" name="Bonu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7DD546-9F34-204E-A1F8-4F6A488F8AF4}" name="Table24591315" displayName="Table24591315" ref="A106:C118" totalsRowShown="0">
  <autoFilter ref="A106:C118" xr:uid="{00000000-0009-0000-0100-000005000000}"/>
  <tableColumns count="3">
    <tableColumn id="1" xr3:uid="{6D75E957-4CC5-1E49-8CFC-EA1333D137EE}" name="State"/>
    <tableColumn id="2" xr3:uid="{131D4670-BAFD-F245-8F4F-2CB45BB5B2F6}" name="Bonus"/>
    <tableColumn id="3" xr3:uid="{7372DCAD-EEBB-BD4C-B86C-FD4E11842236}" name="Messag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6391D1-6877-5046-BE24-DBE91814A104}" name="Table16" displayName="Table16" ref="A27:D36" totalsRowShown="0">
  <autoFilter ref="A27:D36" xr:uid="{00000000-0009-0000-0100-000006000000}"/>
  <tableColumns count="4">
    <tableColumn id="1" xr3:uid="{793CB87E-90D9-1744-8C59-8C09EE8EAB15}" name="Color"/>
    <tableColumn id="2" xr3:uid="{7045CEE9-CE78-9940-9A67-23F70D57819F}" name="First " dataDxfId="2">
      <calculatedColumnFormula>IF(Table16[[#This Row],[Color]]="Blue", 10, 0)</calculatedColumnFormula>
    </tableColumn>
    <tableColumn id="3" xr3:uid="{C5EB1508-3B9C-B740-92F3-64A61539B1A0}" name="Second" dataDxfId="1">
      <calculatedColumnFormula>IF(A28="Blue", 10, 0) + IF(A28="Red", 20, 0)</calculatedColumnFormula>
    </tableColumn>
    <tableColumn id="5" xr3:uid="{EE407AE9-EDC0-DE48-A02B-7761D8BF4EB9}" name="Third" dataDxfId="0">
      <calculatedColumnFormula>IF(A28="Blue", 10, 0) + IF(A28="Red", 20, 0) + IF(A28="Yellow", 30, 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83F7E1-DABB-0E4A-9A5A-D32106635A3C}" name="Table27" displayName="Table27" ref="A47:B56" totalsRowShown="0">
  <autoFilter ref="A47:B56" xr:uid="{00000000-0009-0000-0100-000007000000}"/>
  <tableColumns count="2">
    <tableColumn id="1" xr3:uid="{2E0599A0-CDCE-AB43-A0C0-83F91DB51502}" name="State"/>
    <tableColumn id="2" xr3:uid="{102C3B4B-F8F4-AF45-A3E6-AFEC00AEFA4B}" name="Bonu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A75BD4-E652-984F-A299-10E9991515A5}" name="Table248" displayName="Table248" ref="A65:B77" totalsRowShown="0">
  <autoFilter ref="A65:B77" xr:uid="{00000000-0009-0000-0100-000008000000}"/>
  <tableColumns count="2">
    <tableColumn id="1" xr3:uid="{B049AFF3-5E8F-D843-89B9-F5DD9FA0D76F}" name="State"/>
    <tableColumn id="2" xr3:uid="{0826548B-47B9-C746-B0B7-5D6BA40F10FE}" name="Bon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B8FA37-ABB3-EF4F-B8B2-D252B6548A03}" name="Table2459" displayName="Table2459" ref="A88:B100" totalsRowShown="0">
  <autoFilter ref="A88:B100" xr:uid="{00000000-0009-0000-0100-000009000000}"/>
  <tableColumns count="2">
    <tableColumn id="1" xr3:uid="{F41B130A-D9E3-C149-9B6C-5486DE485C68}" name="State"/>
    <tableColumn id="2" xr3:uid="{5D07271A-132C-FA48-9CF0-7D94B128E30A}" name="Bonu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35D4DA-1979-B440-91E6-0C04A062D26A}" name="Table245913" displayName="Table245913" ref="A107:C119" totalsRowShown="0">
  <autoFilter ref="A107:C119" xr:uid="{00000000-0009-0000-0100-00000A000000}"/>
  <tableColumns count="3">
    <tableColumn id="1" xr3:uid="{F8D6763C-8BE9-714D-A90D-B0961A00882C}" name="State"/>
    <tableColumn id="2" xr3:uid="{66342762-3D32-874D-A3BB-1B1528086001}" name="Bonus"/>
    <tableColumn id="3" xr3:uid="{49634123-C6C5-1A4C-934D-4FD6F110245D}" name="Mes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A2"/>
  <sheetViews>
    <sheetView tabSelected="1" zoomScale="207" zoomScaleNormal="207" zoomScalePageLayoutView="207" workbookViewId="0"/>
  </sheetViews>
  <sheetFormatPr defaultColWidth="11" defaultRowHeight="15.75"/>
  <cols>
    <col min="1" max="1" width="27.625" customWidth="1"/>
  </cols>
  <sheetData>
    <row r="1" spans="1:1" ht="26.25">
      <c r="A1" s="7" t="s">
        <v>260</v>
      </c>
    </row>
    <row r="2" spans="1:1">
      <c r="A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M47"/>
  <sheetViews>
    <sheetView zoomScale="170" zoomScaleNormal="170" zoomScalePageLayoutView="142" workbookViewId="0">
      <selection activeCell="B1" sqref="B1"/>
    </sheetView>
  </sheetViews>
  <sheetFormatPr defaultColWidth="11" defaultRowHeight="15.75"/>
  <cols>
    <col min="1" max="1" width="3.125" customWidth="1"/>
    <col min="2" max="2" width="26.5" customWidth="1"/>
    <col min="4" max="4" width="11" style="8"/>
  </cols>
  <sheetData>
    <row r="1" spans="1:4" ht="26.25">
      <c r="A1" s="6" t="s">
        <v>63</v>
      </c>
    </row>
    <row r="2" spans="1:4">
      <c r="A2" s="53" t="s">
        <v>1</v>
      </c>
      <c r="B2" s="53"/>
    </row>
    <row r="5" spans="1:4">
      <c r="A5" s="5" t="s">
        <v>2</v>
      </c>
    </row>
    <row r="6" spans="1:4">
      <c r="A6" s="13" t="s">
        <v>9</v>
      </c>
    </row>
    <row r="7" spans="1:4">
      <c r="B7" s="14" t="s">
        <v>10</v>
      </c>
    </row>
    <row r="8" spans="1:4">
      <c r="B8" s="15" t="s">
        <v>12</v>
      </c>
      <c r="C8" s="11"/>
    </row>
    <row r="9" spans="1:4">
      <c r="B9" s="15" t="s">
        <v>11</v>
      </c>
      <c r="C9" s="11"/>
    </row>
    <row r="10" spans="1:4">
      <c r="B10" s="15" t="s">
        <v>13</v>
      </c>
      <c r="C10" s="11"/>
    </row>
    <row r="11" spans="1:4">
      <c r="B11" s="15" t="s">
        <v>14</v>
      </c>
      <c r="C11" s="11"/>
    </row>
    <row r="12" spans="1:4">
      <c r="B12" s="15"/>
      <c r="C12" s="11"/>
    </row>
    <row r="13" spans="1:4">
      <c r="B13" s="15" t="s">
        <v>0</v>
      </c>
      <c r="C13" s="11"/>
    </row>
    <row r="14" spans="1:4" ht="16.5" thickBot="1">
      <c r="D14" s="8" t="s">
        <v>3</v>
      </c>
    </row>
    <row r="15" spans="1:4" ht="16.5" thickBot="1">
      <c r="B15" s="12" t="str">
        <f ca="1">_xlfn.FORMULATEXT(C15)</f>
        <v>=1=1</v>
      </c>
      <c r="C15" s="9" t="b">
        <f>1=1</f>
        <v>1</v>
      </c>
      <c r="D15" s="8" t="s">
        <v>4</v>
      </c>
    </row>
    <row r="16" spans="1:4" ht="16.5" thickBot="1">
      <c r="B16" s="12" t="str">
        <f ca="1">_xlfn.FORMULATEXT(C16)</f>
        <v>=1=2</v>
      </c>
      <c r="C16" s="9" t="b">
        <f>1=2</f>
        <v>0</v>
      </c>
      <c r="D16" s="8" t="s">
        <v>5</v>
      </c>
    </row>
    <row r="18" spans="1:13" ht="16.5" thickBot="1">
      <c r="B18" s="10" t="s">
        <v>6</v>
      </c>
      <c r="C18" s="10">
        <v>10</v>
      </c>
      <c r="D18" s="8" t="s">
        <v>7</v>
      </c>
    </row>
    <row r="19" spans="1:13" ht="16.5" thickBot="1">
      <c r="B19" s="12" t="str">
        <f ca="1">_xlfn.FORMULATEXT(C19)</f>
        <v>=C18=20</v>
      </c>
      <c r="C19" s="9" t="b">
        <f>C18=20</f>
        <v>0</v>
      </c>
      <c r="D19" s="8" t="s">
        <v>8</v>
      </c>
    </row>
    <row r="20" spans="1:13" ht="16.5" thickBot="1">
      <c r="B20" s="12" t="str">
        <f ca="1">_xlfn.FORMULATEXT(C20)</f>
        <v>=C18=10</v>
      </c>
      <c r="C20" s="9" t="b">
        <f>C18=10</f>
        <v>1</v>
      </c>
      <c r="D20" s="8" t="s">
        <v>15</v>
      </c>
    </row>
    <row r="21" spans="1:13" ht="16.5" thickBot="1">
      <c r="B21" s="12" t="str">
        <f t="shared" ref="B21:B24" ca="1" si="0">_xlfn.FORMULATEXT(C21)</f>
        <v>=C18&lt;10</v>
      </c>
      <c r="C21" s="9" t="b">
        <f>C18&lt;10</f>
        <v>0</v>
      </c>
      <c r="D21" s="8" t="s">
        <v>16</v>
      </c>
    </row>
    <row r="22" spans="1:13" ht="16.5" thickBot="1">
      <c r="B22" s="12" t="str">
        <f t="shared" ca="1" si="0"/>
        <v>=C18&gt;10</v>
      </c>
      <c r="C22" s="9" t="b">
        <f>C18&gt;10</f>
        <v>0</v>
      </c>
      <c r="D22" s="8" t="s">
        <v>17</v>
      </c>
    </row>
    <row r="23" spans="1:13" ht="16.5" thickBot="1">
      <c r="B23" s="12" t="str">
        <f t="shared" ca="1" si="0"/>
        <v>=C18&lt;=10</v>
      </c>
      <c r="C23" s="9" t="b">
        <f>C18&lt;=10</f>
        <v>1</v>
      </c>
      <c r="D23" s="8" t="s">
        <v>18</v>
      </c>
      <c r="M23" s="5"/>
    </row>
    <row r="24" spans="1:13" ht="16.5" thickBot="1">
      <c r="B24" s="12" t="str">
        <f t="shared" ca="1" si="0"/>
        <v>=C18&gt;=10</v>
      </c>
      <c r="C24" s="9" t="b">
        <f>C18&gt;=10</f>
        <v>1</v>
      </c>
      <c r="D24" s="8" t="s">
        <v>19</v>
      </c>
      <c r="L24" s="4"/>
    </row>
    <row r="25" spans="1:13">
      <c r="M25" s="3"/>
    </row>
    <row r="26" spans="1:13" ht="21">
      <c r="L26" s="2"/>
      <c r="M26" s="1"/>
    </row>
    <row r="28" spans="1:13">
      <c r="A28" s="4"/>
      <c r="D28"/>
    </row>
    <row r="29" spans="1:13">
      <c r="A29" s="52" t="s">
        <v>25</v>
      </c>
      <c r="B29" s="52"/>
      <c r="C29" s="52"/>
      <c r="D29" s="52"/>
      <c r="E29" s="52"/>
      <c r="F29" s="52"/>
    </row>
    <row r="30" spans="1:13">
      <c r="D30"/>
    </row>
    <row r="31" spans="1:13">
      <c r="B31" s="10" t="s">
        <v>24</v>
      </c>
      <c r="C31" s="10">
        <v>2</v>
      </c>
      <c r="D31"/>
    </row>
    <row r="32" spans="1:13" ht="16.5" thickBot="1">
      <c r="B32" s="10" t="s">
        <v>20</v>
      </c>
      <c r="C32" s="10">
        <v>7</v>
      </c>
      <c r="D32"/>
    </row>
    <row r="33" spans="1:4" ht="16.5" thickBot="1">
      <c r="B33" s="12" t="e">
        <f ca="1">_xlfn.FORMULATEXT(C33)</f>
        <v>#N/A</v>
      </c>
      <c r="C33" s="9"/>
      <c r="D33" s="8" t="s">
        <v>99</v>
      </c>
    </row>
    <row r="34" spans="1:4" ht="16.5" thickBot="1">
      <c r="B34" s="12" t="e">
        <f ca="1">_xlfn.FORMULATEXT(C34)</f>
        <v>#N/A</v>
      </c>
      <c r="C34" s="9"/>
      <c r="D34" s="8" t="s">
        <v>100</v>
      </c>
    </row>
    <row r="35" spans="1:4" ht="16.5" thickBot="1">
      <c r="B35" s="12" t="e">
        <f ca="1">_xlfn.FORMULATEXT(C35)</f>
        <v>#N/A</v>
      </c>
      <c r="C35" s="9"/>
      <c r="D35" s="8" t="s">
        <v>101</v>
      </c>
    </row>
    <row r="36" spans="1:4" ht="16.5" thickBot="1">
      <c r="B36" s="12" t="e">
        <f t="shared" ref="B36:B40" ca="1" si="1">_xlfn.FORMULATEXT(C36)</f>
        <v>#N/A</v>
      </c>
      <c r="C36" s="9"/>
      <c r="D36" s="8" t="s">
        <v>21</v>
      </c>
    </row>
    <row r="37" spans="1:4" ht="16.5" thickBot="1">
      <c r="A37" s="5"/>
      <c r="B37" s="12" t="e">
        <f t="shared" ca="1" si="1"/>
        <v>#N/A</v>
      </c>
      <c r="C37" s="9"/>
      <c r="D37" s="8" t="s">
        <v>22</v>
      </c>
    </row>
    <row r="38" spans="1:4" ht="16.5" thickBot="1">
      <c r="B38" s="12" t="e">
        <f t="shared" ca="1" si="1"/>
        <v>#N/A</v>
      </c>
      <c r="C38" s="9"/>
      <c r="D38" s="8" t="s">
        <v>23</v>
      </c>
    </row>
    <row r="39" spans="1:4" ht="16.5" thickBot="1">
      <c r="B39" s="12" t="e">
        <f t="shared" ca="1" si="1"/>
        <v>#N/A</v>
      </c>
      <c r="C39" s="9"/>
      <c r="D39" s="8" t="s">
        <v>26</v>
      </c>
    </row>
    <row r="40" spans="1:4" ht="16.5" thickBot="1">
      <c r="B40" s="12" t="e">
        <f t="shared" ca="1" si="1"/>
        <v>#N/A</v>
      </c>
      <c r="C40" s="9"/>
      <c r="D40" s="8" t="s">
        <v>27</v>
      </c>
    </row>
    <row r="41" spans="1:4" ht="16.5" thickBot="1">
      <c r="B41" s="12" t="e">
        <f t="shared" ref="B41:B42" ca="1" si="2">_xlfn.FORMULATEXT(C41)</f>
        <v>#N/A</v>
      </c>
      <c r="C41" s="9"/>
      <c r="D41" s="8" t="s">
        <v>66</v>
      </c>
    </row>
    <row r="42" spans="1:4" ht="16.5" thickBot="1">
      <c r="B42" s="12" t="e">
        <f t="shared" ca="1" si="2"/>
        <v>#N/A</v>
      </c>
      <c r="C42" s="9"/>
      <c r="D42" s="8" t="s">
        <v>102</v>
      </c>
    </row>
    <row r="43" spans="1:4" ht="16.5" thickBot="1">
      <c r="B43" s="12" t="e">
        <f t="shared" ref="B43" ca="1" si="3">_xlfn.FORMULATEXT(C43)</f>
        <v>#N/A</v>
      </c>
      <c r="C43" s="9"/>
      <c r="D43" s="8" t="s">
        <v>103</v>
      </c>
    </row>
    <row r="44" spans="1:4" ht="16.5" thickBot="1">
      <c r="B44" s="12" t="e">
        <f t="shared" ref="B44:B45" ca="1" si="4">_xlfn.FORMULATEXT(C44)</f>
        <v>#N/A</v>
      </c>
      <c r="C44" s="9"/>
      <c r="D44" s="8" t="s">
        <v>97</v>
      </c>
    </row>
    <row r="45" spans="1:4" ht="16.5" thickBot="1">
      <c r="B45" s="12" t="e">
        <f t="shared" ca="1" si="4"/>
        <v>#N/A</v>
      </c>
      <c r="C45" s="9"/>
      <c r="D45" s="8" t="s">
        <v>98</v>
      </c>
    </row>
    <row r="46" spans="1:4" ht="16.5" thickBot="1">
      <c r="B46" s="12" t="e">
        <f ca="1">_xlfn.FORMULATEXT(C46)</f>
        <v>#N/A</v>
      </c>
      <c r="C46" s="9"/>
      <c r="D46" s="8" t="s">
        <v>67</v>
      </c>
    </row>
    <row r="47" spans="1:4" ht="16.5" thickBot="1">
      <c r="B47" s="12" t="e">
        <f ca="1">_xlfn.FORMULATEXT(C47)</f>
        <v>#N/A</v>
      </c>
      <c r="C47" s="9"/>
      <c r="D47" s="8" t="s">
        <v>96</v>
      </c>
    </row>
  </sheetData>
  <mergeCells count="2">
    <mergeCell ref="A29:F29"/>
    <mergeCell ref="A2:B2"/>
  </mergeCells>
  <hyperlinks>
    <hyperlink ref="A2" location="Overview!A1" display="Back to outcomes sheet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F34"/>
  <sheetViews>
    <sheetView topLeftCell="A2" zoomScale="145" zoomScaleNormal="145" zoomScalePageLayoutView="171" workbookViewId="0">
      <selection activeCell="A2" sqref="A2:B2"/>
    </sheetView>
  </sheetViews>
  <sheetFormatPr defaultColWidth="11" defaultRowHeight="15.75"/>
  <cols>
    <col min="1" max="1" width="3" customWidth="1"/>
    <col min="2" max="2" width="38.375" customWidth="1"/>
  </cols>
  <sheetData>
    <row r="1" spans="1:4" ht="26.25">
      <c r="A1" s="6" t="s">
        <v>64</v>
      </c>
      <c r="D1" s="8"/>
    </row>
    <row r="2" spans="1:4">
      <c r="A2" s="53" t="s">
        <v>1</v>
      </c>
      <c r="B2" s="53"/>
      <c r="D2" s="8"/>
    </row>
    <row r="3" spans="1:4">
      <c r="D3" s="8"/>
    </row>
    <row r="4" spans="1:4">
      <c r="D4" s="8"/>
    </row>
    <row r="5" spans="1:4">
      <c r="A5" s="5" t="s">
        <v>28</v>
      </c>
      <c r="D5" s="8"/>
    </row>
    <row r="6" spans="1:4">
      <c r="B6" s="14" t="s">
        <v>29</v>
      </c>
      <c r="D6" s="8"/>
    </row>
    <row r="7" spans="1:4">
      <c r="B7" s="15" t="s">
        <v>31</v>
      </c>
      <c r="C7" s="11"/>
      <c r="D7" s="8"/>
    </row>
    <row r="8" spans="1:4">
      <c r="B8" s="15" t="s">
        <v>30</v>
      </c>
      <c r="C8" s="11"/>
      <c r="D8" s="8"/>
    </row>
    <row r="9" spans="1:4">
      <c r="B9" s="15"/>
      <c r="C9" s="11"/>
      <c r="D9" s="8"/>
    </row>
    <row r="10" spans="1:4">
      <c r="B10" s="15"/>
      <c r="C10" s="11"/>
      <c r="D10" s="8"/>
    </row>
    <row r="11" spans="1:4">
      <c r="B11" s="10" t="s">
        <v>34</v>
      </c>
      <c r="C11" s="10">
        <v>4</v>
      </c>
      <c r="D11" s="8"/>
    </row>
    <row r="12" spans="1:4">
      <c r="B12" s="10" t="s">
        <v>32</v>
      </c>
      <c r="C12" s="10">
        <v>1</v>
      </c>
      <c r="D12" s="8"/>
    </row>
    <row r="13" spans="1:4" ht="16.5" thickBot="1">
      <c r="B13" s="10" t="s">
        <v>33</v>
      </c>
      <c r="C13" s="10">
        <v>3</v>
      </c>
      <c r="D13" s="8"/>
    </row>
    <row r="14" spans="1:4" ht="16.5" thickBot="1">
      <c r="B14" s="12" t="str">
        <f ca="1">_xlfn.FORMULATEXT(C14)</f>
        <v>=geckos&gt;3</v>
      </c>
      <c r="C14" s="9" t="b">
        <f>geckos&gt;3</f>
        <v>1</v>
      </c>
      <c r="D14" s="8" t="s">
        <v>35</v>
      </c>
    </row>
    <row r="15" spans="1:4" ht="16.5" thickBot="1">
      <c r="B15" s="12" t="str">
        <f ca="1">_xlfn.FORMULATEXT(C15)</f>
        <v>=NOT(geckos&gt;3)</v>
      </c>
      <c r="C15" s="9" t="b">
        <f>NOT(geckos&gt;3)</f>
        <v>0</v>
      </c>
      <c r="D15" s="8" t="s">
        <v>36</v>
      </c>
    </row>
    <row r="16" spans="1:4" ht="16.5" thickBot="1">
      <c r="B16" s="12" t="str">
        <f ca="1">_xlfn.FORMULATEXT(C16)</f>
        <v>=AND(geckos&gt;3,cows&gt;3)</v>
      </c>
      <c r="C16" s="9" t="b">
        <f>AND(geckos&gt;3,cows&gt;3)</f>
        <v>0</v>
      </c>
      <c r="D16" s="8" t="s">
        <v>37</v>
      </c>
    </row>
    <row r="17" spans="1:6" ht="16.5" thickBot="1">
      <c r="B17" s="12" t="str">
        <f ca="1">_xlfn.FORMULATEXT(C17)</f>
        <v>=OR(geckos&gt;3, puppies&gt;2)</v>
      </c>
      <c r="C17" s="9" t="b">
        <f>OR(geckos&gt;3, puppies&gt;2)</f>
        <v>1</v>
      </c>
      <c r="D17" s="8" t="s">
        <v>38</v>
      </c>
    </row>
    <row r="18" spans="1:6">
      <c r="D18" s="8"/>
    </row>
    <row r="19" spans="1:6">
      <c r="A19" s="4"/>
    </row>
    <row r="20" spans="1:6">
      <c r="A20" s="52" t="s">
        <v>25</v>
      </c>
      <c r="B20" s="52"/>
      <c r="C20" s="52"/>
      <c r="D20" s="52"/>
      <c r="E20" s="52"/>
      <c r="F20" s="52"/>
    </row>
    <row r="21" spans="1:6" ht="16.5" thickBot="1"/>
    <row r="22" spans="1:6" ht="16.5" thickBot="1">
      <c r="B22" s="16" t="e">
        <f ca="1">_xlfn.FORMULATEXT(C22)</f>
        <v>#N/A</v>
      </c>
      <c r="C22" s="9"/>
      <c r="D22" s="8" t="s">
        <v>39</v>
      </c>
    </row>
    <row r="23" spans="1:6" ht="16.5" thickBot="1">
      <c r="A23" s="5"/>
      <c r="B23" s="16" t="e">
        <f t="shared" ref="B23:B27" ca="1" si="0">_xlfn.FORMULATEXT(C23)</f>
        <v>#N/A</v>
      </c>
      <c r="C23" s="9"/>
      <c r="D23" s="8" t="s">
        <v>40</v>
      </c>
    </row>
    <row r="24" spans="1:6" ht="16.5" thickBot="1">
      <c r="B24" s="16" t="e">
        <f t="shared" ca="1" si="0"/>
        <v>#N/A</v>
      </c>
      <c r="C24" s="9"/>
      <c r="D24" s="8" t="s">
        <v>41</v>
      </c>
    </row>
    <row r="25" spans="1:6" ht="16.5" thickBot="1">
      <c r="B25" s="16" t="e">
        <f t="shared" ca="1" si="0"/>
        <v>#N/A</v>
      </c>
      <c r="C25" s="9"/>
      <c r="D25" s="8" t="s">
        <v>62</v>
      </c>
    </row>
    <row r="26" spans="1:6" ht="16.5" thickBot="1">
      <c r="B26" s="16" t="e">
        <f t="shared" ca="1" si="0"/>
        <v>#N/A</v>
      </c>
      <c r="C26" s="9"/>
      <c r="D26" s="8" t="s">
        <v>104</v>
      </c>
    </row>
    <row r="27" spans="1:6" ht="16.5" thickBot="1">
      <c r="B27" s="16" t="e">
        <f t="shared" ca="1" si="0"/>
        <v>#N/A</v>
      </c>
      <c r="C27" s="9"/>
      <c r="D27" s="8" t="s">
        <v>43</v>
      </c>
    </row>
    <row r="28" spans="1:6" ht="16.5" thickBot="1">
      <c r="B28" s="16" t="e">
        <f t="shared" ref="B28:B30" ca="1" si="1">_xlfn.FORMULATEXT(C28)</f>
        <v>#N/A</v>
      </c>
      <c r="C28" s="9"/>
      <c r="D28" s="8" t="s">
        <v>42</v>
      </c>
    </row>
    <row r="29" spans="1:6" ht="16.5" thickBot="1">
      <c r="B29" s="16" t="e">
        <f t="shared" ca="1" si="1"/>
        <v>#N/A</v>
      </c>
      <c r="C29" s="9"/>
      <c r="D29" s="8" t="s">
        <v>105</v>
      </c>
    </row>
    <row r="30" spans="1:6" ht="16.5" thickBot="1">
      <c r="B30" s="16" t="e">
        <f t="shared" ca="1" si="1"/>
        <v>#N/A</v>
      </c>
      <c r="C30" s="9"/>
      <c r="D30" s="8" t="s">
        <v>106</v>
      </c>
    </row>
    <row r="31" spans="1:6" ht="16.5" thickBot="1">
      <c r="B31" s="16" t="e">
        <f t="shared" ref="B31:B34" ca="1" si="2">_xlfn.FORMULATEXT(C31)</f>
        <v>#N/A</v>
      </c>
      <c r="C31" s="9"/>
      <c r="D31" s="8" t="s">
        <v>68</v>
      </c>
    </row>
    <row r="32" spans="1:6" ht="16.5" thickBot="1">
      <c r="B32" s="16" t="e">
        <f t="shared" ca="1" si="2"/>
        <v>#N/A</v>
      </c>
      <c r="C32" s="9"/>
      <c r="D32" s="8" t="s">
        <v>107</v>
      </c>
    </row>
    <row r="33" spans="2:4" ht="16.5" thickBot="1">
      <c r="B33" s="16" t="e">
        <f t="shared" ca="1" si="2"/>
        <v>#N/A</v>
      </c>
      <c r="C33" s="9"/>
      <c r="D33" s="8" t="s">
        <v>108</v>
      </c>
    </row>
    <row r="34" spans="2:4" ht="16.5" thickBot="1">
      <c r="B34" s="16" t="e">
        <f t="shared" ca="1" si="2"/>
        <v>#N/A</v>
      </c>
      <c r="C34" s="9"/>
      <c r="D34" s="8" t="s">
        <v>109</v>
      </c>
    </row>
  </sheetData>
  <mergeCells count="2">
    <mergeCell ref="A20:F20"/>
    <mergeCell ref="A2:B2"/>
  </mergeCells>
  <hyperlinks>
    <hyperlink ref="A2" location="Overview!A1" display="Back to outcomes sheet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F31"/>
  <sheetViews>
    <sheetView zoomScale="145" zoomScaleNormal="145" zoomScalePageLayoutView="201" workbookViewId="0">
      <selection activeCell="A2" sqref="A2:B2"/>
    </sheetView>
  </sheetViews>
  <sheetFormatPr defaultColWidth="11" defaultRowHeight="15.75"/>
  <cols>
    <col min="1" max="1" width="2.875" customWidth="1"/>
    <col min="2" max="2" width="32.375" customWidth="1"/>
  </cols>
  <sheetData>
    <row r="1" spans="1:4" ht="26.25">
      <c r="A1" s="6" t="s">
        <v>65</v>
      </c>
      <c r="D1" s="8"/>
    </row>
    <row r="2" spans="1:4">
      <c r="A2" s="53" t="s">
        <v>1</v>
      </c>
      <c r="B2" s="53"/>
      <c r="D2" s="8"/>
    </row>
    <row r="3" spans="1:4">
      <c r="D3" s="8"/>
    </row>
    <row r="4" spans="1:4">
      <c r="D4" s="8"/>
    </row>
    <row r="5" spans="1:4">
      <c r="A5" s="5" t="s">
        <v>44</v>
      </c>
      <c r="D5" s="8"/>
    </row>
    <row r="6" spans="1:4">
      <c r="A6" s="14" t="s">
        <v>51</v>
      </c>
      <c r="D6" s="8"/>
    </row>
    <row r="7" spans="1:4">
      <c r="B7" s="14" t="s">
        <v>45</v>
      </c>
      <c r="D7" s="8"/>
    </row>
    <row r="8" spans="1:4">
      <c r="B8" s="15" t="s">
        <v>46</v>
      </c>
      <c r="C8" s="11"/>
      <c r="D8" s="8"/>
    </row>
    <row r="9" spans="1:4">
      <c r="B9" s="15" t="s">
        <v>47</v>
      </c>
      <c r="C9" s="11"/>
      <c r="D9" s="8"/>
    </row>
    <row r="10" spans="1:4">
      <c r="B10" s="15"/>
      <c r="C10" s="11"/>
      <c r="D10" s="8"/>
    </row>
    <row r="11" spans="1:4">
      <c r="B11" s="15"/>
      <c r="C11" s="11"/>
      <c r="D11" s="8"/>
    </row>
    <row r="12" spans="1:4">
      <c r="B12" s="10" t="s">
        <v>48</v>
      </c>
      <c r="C12" s="10">
        <v>50</v>
      </c>
      <c r="D12" s="8"/>
    </row>
    <row r="13" spans="1:4">
      <c r="B13" s="10" t="s">
        <v>49</v>
      </c>
      <c r="C13" s="10">
        <v>101</v>
      </c>
      <c r="D13" s="8"/>
    </row>
    <row r="14" spans="1:4">
      <c r="B14" s="10" t="s">
        <v>55</v>
      </c>
      <c r="C14" s="10">
        <v>50</v>
      </c>
      <c r="D14" s="8"/>
    </row>
    <row r="15" spans="1:4" ht="16.5" thickBot="1">
      <c r="B15" s="10" t="s">
        <v>50</v>
      </c>
      <c r="C15" s="10">
        <v>20</v>
      </c>
      <c r="D15" s="8"/>
    </row>
    <row r="16" spans="1:4" ht="16.5" thickBot="1">
      <c r="B16" s="12" t="str">
        <f ca="1">_xlfn.FORMULATEXT(C16)</f>
        <v>=nails&gt;10</v>
      </c>
      <c r="C16" s="9" t="b">
        <f>nails&gt;10</f>
        <v>1</v>
      </c>
      <c r="D16" s="8" t="s">
        <v>52</v>
      </c>
    </row>
    <row r="17" spans="1:6" ht="16.5" thickBot="1">
      <c r="B17" s="12" t="str">
        <f ca="1">_xlfn.FORMULATEXT(C17)</f>
        <v>=IF(nails&gt;10, 1, 2)</v>
      </c>
      <c r="C17" s="9">
        <f>IF(nails&gt;10, 1, 2)</f>
        <v>1</v>
      </c>
      <c r="D17" s="8" t="s">
        <v>53</v>
      </c>
    </row>
    <row r="18" spans="1:6" ht="16.5" thickBot="1">
      <c r="B18" s="12" t="str">
        <f ca="1">_xlfn.FORMULATEXT(C18)</f>
        <v>=IF(nails=10, "Yes", "No")</v>
      </c>
      <c r="C18" s="9" t="str">
        <f>IF(nails=10, "Yes", "No")</f>
        <v>No</v>
      </c>
      <c r="D18" s="8" t="s">
        <v>54</v>
      </c>
    </row>
    <row r="19" spans="1:6">
      <c r="D19" s="8"/>
    </row>
    <row r="20" spans="1:6">
      <c r="A20" s="4"/>
    </row>
    <row r="21" spans="1:6">
      <c r="A21" s="52" t="s">
        <v>25</v>
      </c>
      <c r="B21" s="52"/>
      <c r="C21" s="52"/>
      <c r="D21" s="52"/>
      <c r="E21" s="52"/>
      <c r="F21" s="52"/>
    </row>
    <row r="22" spans="1:6" ht="16.5" thickBot="1"/>
    <row r="23" spans="1:6" ht="16.5" thickBot="1">
      <c r="B23" s="12" t="e">
        <f t="shared" ref="B23:B29" ca="1" si="0">_xlfn.FORMULATEXT(C23)</f>
        <v>#N/A</v>
      </c>
      <c r="C23" s="9"/>
      <c r="D23" s="8" t="s">
        <v>58</v>
      </c>
    </row>
    <row r="24" spans="1:6" ht="16.5" thickBot="1">
      <c r="B24" s="12" t="e">
        <f t="shared" ca="1" si="0"/>
        <v>#N/A</v>
      </c>
      <c r="C24" s="9"/>
      <c r="D24" s="8" t="s">
        <v>59</v>
      </c>
    </row>
    <row r="25" spans="1:6" ht="16.5" thickBot="1">
      <c r="A25" s="5"/>
      <c r="B25" s="12" t="e">
        <f t="shared" ca="1" si="0"/>
        <v>#N/A</v>
      </c>
      <c r="C25" s="9"/>
      <c r="D25" s="8" t="s">
        <v>56</v>
      </c>
    </row>
    <row r="26" spans="1:6" ht="16.5" thickBot="1">
      <c r="B26" s="12" t="e">
        <f t="shared" ca="1" si="0"/>
        <v>#N/A</v>
      </c>
      <c r="C26" s="9"/>
      <c r="D26" s="8" t="s">
        <v>69</v>
      </c>
      <c r="E26" s="8"/>
    </row>
    <row r="27" spans="1:6" ht="16.5" thickBot="1">
      <c r="B27" s="12" t="e">
        <f t="shared" ca="1" si="0"/>
        <v>#N/A</v>
      </c>
      <c r="C27" s="9"/>
      <c r="D27" s="8" t="s">
        <v>57</v>
      </c>
    </row>
    <row r="28" spans="1:6" ht="16.5" thickBot="1">
      <c r="B28" s="12" t="e">
        <f t="shared" ca="1" si="0"/>
        <v>#N/A</v>
      </c>
      <c r="C28" s="9"/>
      <c r="D28" s="8" t="s">
        <v>61</v>
      </c>
    </row>
    <row r="29" spans="1:6" ht="16.5" thickBot="1">
      <c r="B29" s="12" t="e">
        <f t="shared" ca="1" si="0"/>
        <v>#N/A</v>
      </c>
      <c r="C29" s="9"/>
      <c r="D29" s="8" t="s">
        <v>70</v>
      </c>
    </row>
    <row r="30" spans="1:6" ht="16.5" thickBot="1">
      <c r="B30" s="12" t="e">
        <f t="shared" ref="B30:B31" ca="1" si="1">_xlfn.FORMULATEXT(C30)</f>
        <v>#N/A</v>
      </c>
      <c r="C30" s="9"/>
      <c r="D30" s="8" t="s">
        <v>71</v>
      </c>
    </row>
    <row r="31" spans="1:6" ht="16.5" thickBot="1">
      <c r="B31" s="12" t="e">
        <f t="shared" ca="1" si="1"/>
        <v>#N/A</v>
      </c>
      <c r="C31" s="9"/>
      <c r="D31" s="18" t="s">
        <v>60</v>
      </c>
    </row>
  </sheetData>
  <mergeCells count="2">
    <mergeCell ref="A21:F21"/>
    <mergeCell ref="A2:B2"/>
  </mergeCells>
  <hyperlinks>
    <hyperlink ref="A2" location="Overview!A1" display="Back to outcomes sheet" xr:uid="{00000000-0004-0000-0300-000000000000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ABD3-5880-A840-9054-B26F03881345}">
  <sheetPr>
    <tabColor theme="4"/>
  </sheetPr>
  <dimension ref="A1:K55"/>
  <sheetViews>
    <sheetView zoomScale="169" zoomScaleNormal="169" workbookViewId="0">
      <selection activeCell="A2" sqref="A2"/>
    </sheetView>
  </sheetViews>
  <sheetFormatPr defaultColWidth="11" defaultRowHeight="15.75"/>
  <cols>
    <col min="2" max="2" width="12.125" customWidth="1"/>
    <col min="3" max="3" width="11.625" customWidth="1"/>
    <col min="4" max="4" width="13" customWidth="1"/>
  </cols>
  <sheetData>
    <row r="1" spans="1:11" ht="26.25">
      <c r="A1" s="6" t="s">
        <v>257</v>
      </c>
    </row>
    <row r="3" spans="1:11">
      <c r="C3" s="29" t="s">
        <v>117</v>
      </c>
      <c r="D3" s="29" t="s">
        <v>117</v>
      </c>
    </row>
    <row r="4" spans="1:11" s="30" customFormat="1" ht="110.1" customHeight="1">
      <c r="A4" s="17" t="s">
        <v>118</v>
      </c>
      <c r="B4" s="17" t="s">
        <v>119</v>
      </c>
      <c r="C4" s="17" t="s">
        <v>120</v>
      </c>
      <c r="D4" s="17" t="s">
        <v>121</v>
      </c>
      <c r="E4" s="30" t="s">
        <v>122</v>
      </c>
      <c r="F4" s="30" t="s">
        <v>123</v>
      </c>
      <c r="G4" s="30" t="s">
        <v>124</v>
      </c>
      <c r="H4" s="30" t="s">
        <v>125</v>
      </c>
      <c r="I4" s="30" t="s">
        <v>127</v>
      </c>
      <c r="J4" s="30" t="s">
        <v>128</v>
      </c>
      <c r="K4" s="30" t="s">
        <v>126</v>
      </c>
    </row>
    <row r="5" spans="1:11">
      <c r="A5" t="s">
        <v>129</v>
      </c>
      <c r="B5" s="31">
        <v>4779736</v>
      </c>
      <c r="C5" s="31">
        <v>50744</v>
      </c>
      <c r="D5" s="31">
        <v>1675.01</v>
      </c>
      <c r="E5" s="31"/>
      <c r="F5" s="31"/>
      <c r="G5" s="31"/>
      <c r="H5" s="31"/>
      <c r="I5" s="31"/>
      <c r="J5" s="31"/>
      <c r="K5" s="31"/>
    </row>
    <row r="6" spans="1:11">
      <c r="A6" t="s">
        <v>130</v>
      </c>
      <c r="B6" s="31">
        <v>710231</v>
      </c>
      <c r="C6" s="31">
        <v>571951.26</v>
      </c>
      <c r="D6" s="31">
        <v>91316</v>
      </c>
      <c r="E6" s="31"/>
      <c r="F6" s="31"/>
      <c r="G6" s="31"/>
      <c r="H6" s="31"/>
      <c r="I6" s="31"/>
      <c r="J6" s="31"/>
      <c r="K6" s="31"/>
    </row>
    <row r="7" spans="1:11">
      <c r="A7" t="s">
        <v>131</v>
      </c>
      <c r="B7" s="31">
        <v>6392017</v>
      </c>
      <c r="C7" s="31">
        <v>113634.57</v>
      </c>
      <c r="D7" s="31">
        <v>363.73</v>
      </c>
      <c r="E7" s="31"/>
      <c r="F7" s="31"/>
      <c r="G7" s="31"/>
      <c r="H7" s="31"/>
      <c r="I7" s="31"/>
      <c r="J7" s="31"/>
      <c r="K7" s="31"/>
    </row>
    <row r="8" spans="1:11">
      <c r="A8" t="s">
        <v>132</v>
      </c>
      <c r="B8" s="31">
        <v>2915918</v>
      </c>
      <c r="C8" s="31">
        <v>52068.17</v>
      </c>
      <c r="D8" s="31">
        <v>1110.45</v>
      </c>
      <c r="E8" s="31"/>
      <c r="F8" s="31"/>
      <c r="G8" s="31"/>
      <c r="H8" s="31"/>
      <c r="I8" s="31"/>
      <c r="J8" s="31"/>
      <c r="K8" s="31"/>
    </row>
    <row r="9" spans="1:11">
      <c r="A9" t="s">
        <v>133</v>
      </c>
      <c r="B9" s="31">
        <v>37253956</v>
      </c>
      <c r="C9" s="31">
        <v>155959.34</v>
      </c>
      <c r="D9" s="31">
        <v>7736.23</v>
      </c>
      <c r="E9" s="31"/>
      <c r="F9" s="31"/>
      <c r="G9" s="31"/>
      <c r="H9" s="31"/>
      <c r="I9" s="31"/>
      <c r="J9" s="31"/>
      <c r="K9" s="31"/>
    </row>
    <row r="10" spans="1:11">
      <c r="A10" t="s">
        <v>134</v>
      </c>
      <c r="B10" s="31">
        <v>5029196</v>
      </c>
      <c r="C10" s="31">
        <v>103717.53</v>
      </c>
      <c r="D10" s="31">
        <v>376.04</v>
      </c>
      <c r="E10" s="31"/>
      <c r="F10" s="31"/>
      <c r="G10" s="31"/>
      <c r="H10" s="31"/>
      <c r="I10" s="31"/>
      <c r="J10" s="31"/>
      <c r="K10" s="31"/>
    </row>
    <row r="11" spans="1:11">
      <c r="A11" t="s">
        <v>135</v>
      </c>
      <c r="B11" s="31">
        <v>3574097</v>
      </c>
      <c r="C11" s="31">
        <v>4844.8</v>
      </c>
      <c r="D11" s="31">
        <v>698.53</v>
      </c>
      <c r="E11" s="31"/>
      <c r="F11" s="31"/>
      <c r="G11" s="31"/>
      <c r="H11" s="31"/>
      <c r="I11" s="31"/>
      <c r="J11" s="31"/>
      <c r="K11" s="31"/>
    </row>
    <row r="12" spans="1:11">
      <c r="A12" t="s">
        <v>136</v>
      </c>
      <c r="B12" s="31">
        <v>897934</v>
      </c>
      <c r="C12" s="31">
        <v>1953.56</v>
      </c>
      <c r="D12" s="31">
        <v>535.71</v>
      </c>
      <c r="E12" s="31"/>
      <c r="F12" s="31"/>
      <c r="G12" s="31"/>
      <c r="H12" s="31"/>
      <c r="I12" s="31"/>
      <c r="J12" s="31"/>
      <c r="K12" s="31"/>
    </row>
    <row r="13" spans="1:11">
      <c r="A13" t="s">
        <v>137</v>
      </c>
      <c r="B13" s="31">
        <v>18801310</v>
      </c>
      <c r="C13" s="31">
        <v>53926.82</v>
      </c>
      <c r="D13" s="31">
        <v>11827.77</v>
      </c>
      <c r="E13" s="31"/>
      <c r="F13" s="31"/>
      <c r="G13" s="31"/>
      <c r="H13" s="31"/>
      <c r="I13" s="31"/>
      <c r="J13" s="31"/>
      <c r="K13" s="31"/>
    </row>
    <row r="14" spans="1:11">
      <c r="A14" t="s">
        <v>138</v>
      </c>
      <c r="B14" s="31">
        <v>9687653</v>
      </c>
      <c r="C14" s="31">
        <v>57906.14</v>
      </c>
      <c r="D14" s="31">
        <v>1518.63</v>
      </c>
      <c r="E14" s="31"/>
      <c r="F14" s="31"/>
      <c r="G14" s="31"/>
      <c r="H14" s="31"/>
      <c r="I14" s="31"/>
      <c r="J14" s="31"/>
      <c r="K14" s="31"/>
    </row>
    <row r="15" spans="1:11">
      <c r="A15" t="s">
        <v>139</v>
      </c>
      <c r="B15" s="31">
        <v>1360301</v>
      </c>
      <c r="C15" s="31">
        <v>6422.62</v>
      </c>
      <c r="D15" s="31">
        <v>4508.3599999999997</v>
      </c>
      <c r="E15" s="31"/>
      <c r="F15" s="31"/>
      <c r="G15" s="31"/>
      <c r="H15" s="31"/>
      <c r="I15" s="31"/>
      <c r="J15" s="31"/>
      <c r="K15" s="31"/>
    </row>
    <row r="16" spans="1:11">
      <c r="A16" t="s">
        <v>140</v>
      </c>
      <c r="B16" s="31">
        <v>1567582</v>
      </c>
      <c r="C16" s="31">
        <v>82747.210000000006</v>
      </c>
      <c r="D16" s="31">
        <v>822.87</v>
      </c>
      <c r="E16" s="31"/>
      <c r="F16" s="31"/>
      <c r="G16" s="31"/>
      <c r="H16" s="31"/>
      <c r="I16" s="31"/>
      <c r="J16" s="31"/>
      <c r="K16" s="31"/>
    </row>
    <row r="17" spans="1:11">
      <c r="A17" t="s">
        <v>141</v>
      </c>
      <c r="B17" s="31">
        <v>12830632</v>
      </c>
      <c r="C17" s="31">
        <v>55583.58</v>
      </c>
      <c r="D17" s="31">
        <v>2330.79</v>
      </c>
      <c r="E17" s="31"/>
      <c r="F17" s="31"/>
      <c r="G17" s="31"/>
      <c r="H17" s="31"/>
      <c r="I17" s="31"/>
      <c r="J17" s="31"/>
      <c r="K17" s="31"/>
    </row>
    <row r="18" spans="1:11">
      <c r="A18" t="s">
        <v>142</v>
      </c>
      <c r="B18" s="31">
        <v>6483802</v>
      </c>
      <c r="C18" s="31">
        <v>35866.9</v>
      </c>
      <c r="D18" s="31">
        <v>550.83000000000004</v>
      </c>
      <c r="E18" s="31"/>
      <c r="F18" s="31"/>
      <c r="G18" s="31"/>
      <c r="H18" s="31"/>
      <c r="I18" s="31"/>
      <c r="J18" s="31"/>
      <c r="K18" s="31"/>
    </row>
    <row r="19" spans="1:11">
      <c r="A19" t="s">
        <v>143</v>
      </c>
      <c r="B19" s="31">
        <v>3046355</v>
      </c>
      <c r="C19" s="31">
        <v>55869.36</v>
      </c>
      <c r="D19" s="31">
        <v>402.2</v>
      </c>
      <c r="E19" s="31"/>
      <c r="F19" s="31"/>
      <c r="G19" s="31"/>
      <c r="H19" s="31"/>
      <c r="I19" s="31"/>
      <c r="J19" s="31"/>
      <c r="K19" s="31"/>
    </row>
    <row r="20" spans="1:11">
      <c r="A20" t="s">
        <v>144</v>
      </c>
      <c r="B20" s="31">
        <v>2853118</v>
      </c>
      <c r="C20" s="31">
        <v>81814.880000000005</v>
      </c>
      <c r="D20" s="31">
        <v>461.96</v>
      </c>
      <c r="E20" s="31"/>
      <c r="F20" s="31"/>
      <c r="G20" s="31"/>
      <c r="H20" s="31"/>
      <c r="I20" s="31"/>
      <c r="J20" s="31"/>
      <c r="K20" s="31"/>
    </row>
    <row r="21" spans="1:11">
      <c r="A21" t="s">
        <v>145</v>
      </c>
      <c r="B21" s="31">
        <v>4339367</v>
      </c>
      <c r="C21" s="31">
        <v>39728.18</v>
      </c>
      <c r="D21" s="31">
        <v>680.85</v>
      </c>
      <c r="E21" s="31"/>
      <c r="F21" s="31"/>
      <c r="G21" s="31"/>
      <c r="H21" s="31"/>
      <c r="I21" s="31"/>
      <c r="J21" s="31"/>
      <c r="K21" s="31"/>
    </row>
    <row r="22" spans="1:11">
      <c r="A22" t="s">
        <v>146</v>
      </c>
      <c r="B22" s="31">
        <v>4533372</v>
      </c>
      <c r="C22" s="31">
        <v>43561.85</v>
      </c>
      <c r="D22" s="31">
        <v>8277.85</v>
      </c>
      <c r="E22" s="31"/>
      <c r="F22" s="31"/>
      <c r="G22" s="31"/>
      <c r="H22" s="31"/>
      <c r="I22" s="31"/>
      <c r="J22" s="31"/>
      <c r="K22" s="31"/>
    </row>
    <row r="23" spans="1:11">
      <c r="A23" t="s">
        <v>147</v>
      </c>
      <c r="B23" s="31">
        <v>1328361</v>
      </c>
      <c r="C23" s="31">
        <v>30861.55</v>
      </c>
      <c r="D23" s="31">
        <v>4523.1000000000004</v>
      </c>
      <c r="E23" s="31"/>
      <c r="F23" s="31"/>
      <c r="G23" s="31"/>
      <c r="H23" s="31"/>
      <c r="I23" s="31"/>
      <c r="J23" s="31"/>
      <c r="K23" s="31"/>
    </row>
    <row r="24" spans="1:11">
      <c r="A24" t="s">
        <v>148</v>
      </c>
      <c r="B24" s="31">
        <v>5773552</v>
      </c>
      <c r="C24" s="31">
        <v>9773.82</v>
      </c>
      <c r="D24" s="31">
        <v>2632.86</v>
      </c>
      <c r="E24" s="31"/>
      <c r="F24" s="31"/>
      <c r="G24" s="31"/>
      <c r="H24" s="31"/>
      <c r="I24" s="31"/>
      <c r="J24" s="31"/>
      <c r="K24" s="31"/>
    </row>
    <row r="25" spans="1:11">
      <c r="A25" t="s">
        <v>149</v>
      </c>
      <c r="B25" s="31">
        <v>6547629</v>
      </c>
      <c r="C25" s="31">
        <v>7840.02</v>
      </c>
      <c r="D25" s="31">
        <v>2714.55</v>
      </c>
      <c r="E25" s="31"/>
      <c r="F25" s="31"/>
      <c r="G25" s="31"/>
      <c r="H25" s="31"/>
      <c r="I25" s="31"/>
      <c r="J25" s="31"/>
      <c r="K25" s="31"/>
    </row>
    <row r="26" spans="1:11">
      <c r="A26" t="s">
        <v>150</v>
      </c>
      <c r="B26" s="31">
        <v>9883640</v>
      </c>
      <c r="C26" s="31">
        <v>56803.82</v>
      </c>
      <c r="D26" s="31">
        <v>39912.28</v>
      </c>
      <c r="E26" s="31"/>
      <c r="F26" s="31"/>
      <c r="G26" s="31"/>
      <c r="H26" s="31"/>
      <c r="I26" s="31"/>
      <c r="J26" s="31"/>
      <c r="K26" s="31"/>
    </row>
    <row r="27" spans="1:11">
      <c r="A27" t="s">
        <v>151</v>
      </c>
      <c r="B27" s="31">
        <v>5303925</v>
      </c>
      <c r="C27" s="31">
        <v>79610.080000000002</v>
      </c>
      <c r="D27" s="31">
        <v>7328.79</v>
      </c>
      <c r="E27" s="31"/>
      <c r="F27" s="31"/>
      <c r="G27" s="31"/>
      <c r="H27" s="31"/>
      <c r="I27" s="31"/>
      <c r="J27" s="31"/>
      <c r="K27" s="31"/>
    </row>
    <row r="28" spans="1:11">
      <c r="A28" t="s">
        <v>152</v>
      </c>
      <c r="B28" s="31">
        <v>2967297</v>
      </c>
      <c r="C28" s="31">
        <v>46906.96</v>
      </c>
      <c r="D28" s="31">
        <v>1523.24</v>
      </c>
      <c r="E28" s="31"/>
      <c r="F28" s="31"/>
      <c r="G28" s="31"/>
      <c r="H28" s="31"/>
      <c r="I28" s="31"/>
      <c r="J28" s="31"/>
      <c r="K28" s="31"/>
    </row>
    <row r="29" spans="1:11">
      <c r="A29" t="s">
        <v>153</v>
      </c>
      <c r="B29" s="31">
        <v>5988927</v>
      </c>
      <c r="C29" s="31">
        <v>68885.929999999993</v>
      </c>
      <c r="D29" s="31">
        <v>818.39</v>
      </c>
      <c r="E29" s="31"/>
      <c r="F29" s="31"/>
      <c r="G29" s="31"/>
      <c r="H29" s="31"/>
      <c r="I29" s="31"/>
      <c r="J29" s="31"/>
      <c r="K29" s="31"/>
    </row>
    <row r="30" spans="1:11">
      <c r="A30" t="s">
        <v>154</v>
      </c>
      <c r="B30" s="31">
        <v>989415</v>
      </c>
      <c r="C30" s="31">
        <v>145552.43</v>
      </c>
      <c r="D30" s="31">
        <v>1489.96</v>
      </c>
      <c r="E30" s="31"/>
      <c r="F30" s="31"/>
      <c r="G30" s="31"/>
      <c r="H30" s="31"/>
      <c r="I30" s="31"/>
      <c r="J30" s="31"/>
      <c r="K30" s="31"/>
    </row>
    <row r="31" spans="1:11">
      <c r="A31" t="s">
        <v>155</v>
      </c>
      <c r="B31" s="31">
        <v>1826341</v>
      </c>
      <c r="C31" s="31">
        <v>76872.41</v>
      </c>
      <c r="D31" s="31">
        <v>481.31</v>
      </c>
      <c r="E31" s="31"/>
      <c r="F31" s="31"/>
      <c r="G31" s="31"/>
      <c r="H31" s="31"/>
      <c r="I31" s="31"/>
      <c r="J31" s="31"/>
      <c r="K31" s="31"/>
    </row>
    <row r="32" spans="1:11">
      <c r="A32" t="s">
        <v>156</v>
      </c>
      <c r="B32" s="31">
        <v>2700551</v>
      </c>
      <c r="C32" s="31">
        <v>109825.99</v>
      </c>
      <c r="D32" s="31">
        <v>734.71</v>
      </c>
      <c r="E32" s="31"/>
      <c r="F32" s="31"/>
      <c r="G32" s="31"/>
      <c r="H32" s="31"/>
      <c r="I32" s="31"/>
      <c r="J32" s="31"/>
      <c r="K32" s="31"/>
    </row>
    <row r="33" spans="1:11">
      <c r="A33" t="s">
        <v>157</v>
      </c>
      <c r="B33" s="31">
        <v>1316470</v>
      </c>
      <c r="C33" s="31">
        <v>8968.1</v>
      </c>
      <c r="D33" s="31">
        <v>381.84</v>
      </c>
      <c r="E33" s="31"/>
      <c r="F33" s="31"/>
      <c r="G33" s="31"/>
      <c r="H33" s="31"/>
      <c r="I33" s="31"/>
      <c r="J33" s="31"/>
      <c r="K33" s="31"/>
    </row>
    <row r="34" spans="1:11">
      <c r="A34" t="s">
        <v>158</v>
      </c>
      <c r="B34" s="31">
        <v>8791894</v>
      </c>
      <c r="C34" s="31">
        <v>7417.34</v>
      </c>
      <c r="D34" s="31">
        <v>1303.96</v>
      </c>
      <c r="E34" s="31"/>
      <c r="F34" s="31"/>
      <c r="G34" s="31"/>
      <c r="H34" s="31"/>
      <c r="I34" s="31"/>
      <c r="J34" s="31"/>
      <c r="K34" s="31"/>
    </row>
    <row r="35" spans="1:11">
      <c r="A35" t="s">
        <v>159</v>
      </c>
      <c r="B35" s="31">
        <v>2059179</v>
      </c>
      <c r="C35" s="31">
        <v>121355.53</v>
      </c>
      <c r="D35" s="31">
        <v>233.96</v>
      </c>
      <c r="E35" s="31"/>
      <c r="F35" s="31"/>
      <c r="G35" s="31"/>
      <c r="H35" s="31"/>
      <c r="I35" s="31"/>
      <c r="J35" s="31"/>
      <c r="K35" s="31"/>
    </row>
    <row r="36" spans="1:11">
      <c r="A36" t="s">
        <v>160</v>
      </c>
      <c r="B36" s="31">
        <v>19378102</v>
      </c>
      <c r="C36" s="31">
        <v>47213.79</v>
      </c>
      <c r="D36" s="31">
        <v>7342.22</v>
      </c>
      <c r="E36" s="31"/>
      <c r="F36" s="31"/>
      <c r="G36" s="31"/>
      <c r="H36" s="31"/>
      <c r="I36" s="31"/>
      <c r="J36" s="31"/>
      <c r="K36" s="31"/>
    </row>
    <row r="37" spans="1:11">
      <c r="A37" t="s">
        <v>161</v>
      </c>
      <c r="B37" s="31">
        <v>9535483</v>
      </c>
      <c r="C37" s="31">
        <v>48710.879999999997</v>
      </c>
      <c r="D37" s="31">
        <v>5107.63</v>
      </c>
      <c r="E37" s="31"/>
      <c r="F37" s="31"/>
      <c r="G37" s="31"/>
      <c r="H37" s="31"/>
      <c r="I37" s="31"/>
      <c r="J37" s="31"/>
      <c r="K37" s="31"/>
    </row>
    <row r="38" spans="1:11">
      <c r="A38" t="s">
        <v>162</v>
      </c>
      <c r="B38" s="31">
        <v>672591</v>
      </c>
      <c r="C38" s="31">
        <v>68975.929999999993</v>
      </c>
      <c r="D38" s="31">
        <v>1723.86</v>
      </c>
      <c r="E38" s="31"/>
      <c r="F38" s="31"/>
      <c r="G38" s="31"/>
      <c r="H38" s="31"/>
      <c r="I38" s="31"/>
      <c r="J38" s="31"/>
      <c r="K38" s="31"/>
    </row>
    <row r="39" spans="1:11">
      <c r="A39" t="s">
        <v>163</v>
      </c>
      <c r="B39" s="31">
        <v>11536504</v>
      </c>
      <c r="C39" s="31">
        <v>40948.379999999997</v>
      </c>
      <c r="D39" s="31">
        <v>3876.53</v>
      </c>
      <c r="E39" s="31"/>
      <c r="F39" s="31"/>
      <c r="G39" s="31"/>
      <c r="H39" s="31"/>
      <c r="I39" s="31"/>
      <c r="J39" s="31"/>
      <c r="K39" s="31"/>
    </row>
    <row r="40" spans="1:11">
      <c r="A40" t="s">
        <v>164</v>
      </c>
      <c r="B40" s="31">
        <v>3751351</v>
      </c>
      <c r="C40" s="31">
        <v>68667.06</v>
      </c>
      <c r="D40" s="31">
        <v>1231.1300000000001</v>
      </c>
      <c r="E40" s="31"/>
      <c r="F40" s="31"/>
      <c r="G40" s="31"/>
      <c r="H40" s="31"/>
      <c r="I40" s="31"/>
      <c r="J40" s="31"/>
      <c r="K40" s="31"/>
    </row>
    <row r="41" spans="1:11">
      <c r="A41" t="s">
        <v>165</v>
      </c>
      <c r="B41" s="31">
        <v>3831074</v>
      </c>
      <c r="C41" s="31">
        <v>95996.79</v>
      </c>
      <c r="D41" s="31">
        <v>2383.85</v>
      </c>
      <c r="E41" s="31"/>
      <c r="F41" s="31"/>
      <c r="G41" s="31"/>
      <c r="H41" s="31"/>
      <c r="I41" s="31"/>
      <c r="J41" s="31"/>
      <c r="K41" s="31"/>
    </row>
    <row r="42" spans="1:11">
      <c r="A42" t="s">
        <v>166</v>
      </c>
      <c r="B42" s="31">
        <v>12702379</v>
      </c>
      <c r="C42" s="31">
        <v>44816.61</v>
      </c>
      <c r="D42" s="31">
        <v>1238.6300000000001</v>
      </c>
      <c r="E42" s="31"/>
      <c r="F42" s="31"/>
      <c r="G42" s="31"/>
      <c r="H42" s="31"/>
      <c r="I42" s="31"/>
      <c r="J42" s="31"/>
      <c r="K42" s="31"/>
    </row>
    <row r="43" spans="1:11">
      <c r="A43" t="s">
        <v>167</v>
      </c>
      <c r="B43" s="31">
        <v>1052567</v>
      </c>
      <c r="C43" s="31">
        <v>1044.93</v>
      </c>
      <c r="D43" s="31">
        <v>500.12</v>
      </c>
      <c r="E43" s="31"/>
      <c r="F43" s="31"/>
      <c r="G43" s="31"/>
      <c r="H43" s="31"/>
      <c r="I43" s="31"/>
      <c r="J43" s="31"/>
      <c r="K43" s="31"/>
    </row>
    <row r="44" spans="1:11">
      <c r="A44" t="s">
        <v>168</v>
      </c>
      <c r="B44" s="31">
        <v>4625364</v>
      </c>
      <c r="C44" s="31">
        <v>30109.47</v>
      </c>
      <c r="D44" s="31">
        <v>1910.73</v>
      </c>
      <c r="E44" s="31"/>
      <c r="F44" s="31"/>
      <c r="G44" s="31"/>
      <c r="H44" s="31"/>
      <c r="I44" s="31"/>
      <c r="J44" s="31"/>
      <c r="K44" s="31"/>
    </row>
    <row r="45" spans="1:11">
      <c r="A45" t="s">
        <v>169</v>
      </c>
      <c r="B45" s="31">
        <v>814180</v>
      </c>
      <c r="C45" s="31">
        <v>75884.639999999999</v>
      </c>
      <c r="D45" s="31">
        <v>1231.8499999999999</v>
      </c>
      <c r="E45" s="31"/>
      <c r="F45" s="31"/>
      <c r="G45" s="31"/>
      <c r="H45" s="31"/>
      <c r="I45" s="31"/>
      <c r="J45" s="31"/>
      <c r="K45" s="31"/>
    </row>
    <row r="46" spans="1:11">
      <c r="A46" t="s">
        <v>170</v>
      </c>
      <c r="B46" s="31">
        <v>6346105</v>
      </c>
      <c r="C46" s="31">
        <v>41217.120000000003</v>
      </c>
      <c r="D46" s="31">
        <v>926.15</v>
      </c>
      <c r="E46" s="31"/>
      <c r="F46" s="31"/>
      <c r="G46" s="31"/>
      <c r="H46" s="31"/>
      <c r="I46" s="31"/>
      <c r="J46" s="31"/>
      <c r="K46" s="31"/>
    </row>
    <row r="47" spans="1:11">
      <c r="A47" t="s">
        <v>171</v>
      </c>
      <c r="B47" s="31">
        <v>25145561</v>
      </c>
      <c r="C47" s="31">
        <v>261797.12</v>
      </c>
      <c r="D47" s="31">
        <v>6783.7</v>
      </c>
      <c r="E47" s="31"/>
      <c r="F47" s="31"/>
      <c r="G47" s="31"/>
      <c r="H47" s="31"/>
      <c r="I47" s="31"/>
      <c r="J47" s="31"/>
      <c r="K47" s="31"/>
    </row>
    <row r="48" spans="1:11">
      <c r="A48" t="s">
        <v>172</v>
      </c>
      <c r="B48" s="31">
        <v>2763885</v>
      </c>
      <c r="C48" s="31">
        <v>82143.649999999994</v>
      </c>
      <c r="D48" s="31">
        <v>2755.18</v>
      </c>
      <c r="E48" s="31"/>
      <c r="F48" s="31"/>
      <c r="G48" s="31"/>
      <c r="H48" s="31"/>
      <c r="I48" s="31"/>
      <c r="J48" s="31"/>
      <c r="K48" s="31"/>
    </row>
    <row r="49" spans="1:11">
      <c r="A49" t="s">
        <v>173</v>
      </c>
      <c r="B49" s="31">
        <v>625741</v>
      </c>
      <c r="C49" s="31">
        <v>9249.56</v>
      </c>
      <c r="D49" s="31">
        <v>364.7</v>
      </c>
      <c r="E49" s="31"/>
      <c r="F49" s="31"/>
      <c r="G49" s="31"/>
      <c r="H49" s="31"/>
      <c r="I49" s="31"/>
      <c r="J49" s="31"/>
      <c r="K49" s="31"/>
    </row>
    <row r="50" spans="1:11">
      <c r="A50" t="s">
        <v>174</v>
      </c>
      <c r="B50" s="31">
        <v>8001024</v>
      </c>
      <c r="C50" s="31">
        <v>39594.07</v>
      </c>
      <c r="D50" s="31">
        <v>3180.13</v>
      </c>
      <c r="E50" s="31"/>
      <c r="F50" s="31"/>
      <c r="G50" s="31"/>
      <c r="H50" s="31"/>
      <c r="I50" s="31"/>
      <c r="J50" s="31"/>
      <c r="K50" s="31"/>
    </row>
    <row r="51" spans="1:11">
      <c r="A51" t="s">
        <v>175</v>
      </c>
      <c r="B51" s="31">
        <v>6724540</v>
      </c>
      <c r="C51" s="31">
        <v>66544.06</v>
      </c>
      <c r="D51" s="31">
        <v>4755.58</v>
      </c>
      <c r="E51" s="31"/>
      <c r="F51" s="31"/>
      <c r="G51" s="31"/>
      <c r="H51" s="31"/>
      <c r="I51" s="31"/>
      <c r="J51" s="31"/>
      <c r="K51" s="31"/>
    </row>
    <row r="52" spans="1:11">
      <c r="A52" t="s">
        <v>176</v>
      </c>
      <c r="B52" s="31">
        <v>601723</v>
      </c>
      <c r="C52" s="31">
        <v>61.4</v>
      </c>
      <c r="D52" s="31">
        <v>6.94</v>
      </c>
      <c r="E52" s="31"/>
      <c r="F52" s="31"/>
      <c r="G52" s="31"/>
      <c r="H52" s="31"/>
      <c r="I52" s="31"/>
      <c r="J52" s="31"/>
      <c r="K52" s="31"/>
    </row>
    <row r="53" spans="1:11">
      <c r="A53" t="s">
        <v>177</v>
      </c>
      <c r="B53" s="31">
        <v>1852994</v>
      </c>
      <c r="C53" s="31">
        <v>24077.73</v>
      </c>
      <c r="D53" s="31">
        <v>152.03</v>
      </c>
      <c r="E53" s="31"/>
      <c r="F53" s="31"/>
      <c r="G53" s="31"/>
      <c r="H53" s="31"/>
      <c r="I53" s="31"/>
      <c r="J53" s="31"/>
      <c r="K53" s="31"/>
    </row>
    <row r="54" spans="1:11">
      <c r="A54" t="s">
        <v>178</v>
      </c>
      <c r="B54" s="31">
        <v>5686986</v>
      </c>
      <c r="C54" s="31">
        <v>54310.1</v>
      </c>
      <c r="D54" s="31">
        <v>11187.72</v>
      </c>
      <c r="E54" s="31"/>
      <c r="F54" s="31"/>
      <c r="G54" s="31"/>
      <c r="H54" s="31"/>
      <c r="I54" s="31"/>
      <c r="J54" s="31"/>
      <c r="K54" s="31"/>
    </row>
    <row r="55" spans="1:11">
      <c r="A55" t="s">
        <v>179</v>
      </c>
      <c r="B55" s="31">
        <v>563626</v>
      </c>
      <c r="C55" s="31">
        <v>97100.4</v>
      </c>
      <c r="D55" s="31">
        <v>713.16</v>
      </c>
      <c r="E55" s="31"/>
      <c r="F55" s="31"/>
      <c r="G55" s="31"/>
      <c r="H55" s="31"/>
      <c r="I55" s="31"/>
      <c r="J55" s="31"/>
      <c r="K55" s="3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J20"/>
  <sheetViews>
    <sheetView zoomScale="159" zoomScaleNormal="159" zoomScalePageLayoutView="159" workbookViewId="0">
      <selection activeCell="A2" sqref="A2"/>
    </sheetView>
  </sheetViews>
  <sheetFormatPr defaultColWidth="11" defaultRowHeight="15.75"/>
  <cols>
    <col min="2" max="2" width="15" bestFit="1" customWidth="1"/>
    <col min="3" max="3" width="9.375" bestFit="1" customWidth="1"/>
    <col min="6" max="9" width="18.5" customWidth="1"/>
  </cols>
  <sheetData>
    <row r="1" spans="1:10" ht="26.25">
      <c r="A1" s="6" t="s">
        <v>258</v>
      </c>
    </row>
    <row r="2" spans="1:10">
      <c r="A2" s="5"/>
    </row>
    <row r="3" spans="1:10" s="23" customFormat="1" ht="36" customHeight="1">
      <c r="A3" s="54" t="s">
        <v>111</v>
      </c>
      <c r="B3" s="54"/>
      <c r="C3" s="54"/>
      <c r="D3" s="54"/>
      <c r="E3" s="54"/>
      <c r="F3" s="54" t="s">
        <v>110</v>
      </c>
      <c r="G3" s="54"/>
      <c r="H3" s="54"/>
      <c r="I3" s="54"/>
      <c r="J3" s="24" t="s">
        <v>112</v>
      </c>
    </row>
    <row r="4" spans="1:10" s="17" customFormat="1" ht="123.95" customHeight="1">
      <c r="A4" s="25" t="s">
        <v>72</v>
      </c>
      <c r="B4" s="25" t="s">
        <v>73</v>
      </c>
      <c r="C4" s="25" t="s">
        <v>74</v>
      </c>
      <c r="D4" s="25" t="s">
        <v>75</v>
      </c>
      <c r="E4" s="25" t="s">
        <v>94</v>
      </c>
      <c r="F4" s="26" t="s">
        <v>113</v>
      </c>
      <c r="G4" s="26" t="s">
        <v>114</v>
      </c>
      <c r="H4" s="26" t="s">
        <v>115</v>
      </c>
      <c r="I4" s="26" t="s">
        <v>116</v>
      </c>
      <c r="J4" s="27" t="s">
        <v>95</v>
      </c>
    </row>
    <row r="5" spans="1:10">
      <c r="A5" s="21" t="s">
        <v>76</v>
      </c>
      <c r="B5" s="21" t="s">
        <v>77</v>
      </c>
      <c r="C5" s="21">
        <v>712</v>
      </c>
      <c r="D5" s="21">
        <v>1.6</v>
      </c>
      <c r="E5" s="22">
        <f>C5*20</f>
        <v>14240</v>
      </c>
      <c r="F5" s="19"/>
      <c r="G5" s="19"/>
      <c r="H5" s="19"/>
      <c r="I5" s="20"/>
      <c r="J5" s="28"/>
    </row>
    <row r="6" spans="1:10">
      <c r="A6" s="21" t="s">
        <v>78</v>
      </c>
      <c r="B6" s="21" t="s">
        <v>77</v>
      </c>
      <c r="C6" s="21">
        <v>776</v>
      </c>
      <c r="D6" s="21">
        <v>1.3</v>
      </c>
      <c r="E6" s="22">
        <f t="shared" ref="E6:E20" si="0">C6*20</f>
        <v>15520</v>
      </c>
      <c r="F6" s="19"/>
      <c r="G6" s="19"/>
      <c r="H6" s="19"/>
      <c r="I6" s="20"/>
      <c r="J6" s="28"/>
    </row>
    <row r="7" spans="1:10">
      <c r="A7" s="21" t="s">
        <v>79</v>
      </c>
      <c r="B7" s="21" t="s">
        <v>77</v>
      </c>
      <c r="C7" s="21">
        <v>644</v>
      </c>
      <c r="D7" s="21">
        <v>1.6</v>
      </c>
      <c r="E7" s="22">
        <f t="shared" si="0"/>
        <v>12880</v>
      </c>
      <c r="F7" s="19"/>
      <c r="G7" s="19"/>
      <c r="H7" s="19"/>
      <c r="I7" s="20"/>
      <c r="J7" s="28"/>
    </row>
    <row r="8" spans="1:10">
      <c r="A8" s="21" t="s">
        <v>80</v>
      </c>
      <c r="B8" s="21" t="s">
        <v>77</v>
      </c>
      <c r="C8" s="21">
        <v>618</v>
      </c>
      <c r="D8" s="21">
        <v>1.6</v>
      </c>
      <c r="E8" s="22">
        <f t="shared" si="0"/>
        <v>12360</v>
      </c>
      <c r="F8" s="19"/>
      <c r="G8" s="19"/>
      <c r="H8" s="19"/>
      <c r="I8" s="20"/>
      <c r="J8" s="28"/>
    </row>
    <row r="9" spans="1:10">
      <c r="A9" s="21" t="s">
        <v>81</v>
      </c>
      <c r="B9" s="21" t="s">
        <v>77</v>
      </c>
      <c r="C9" s="21">
        <v>241</v>
      </c>
      <c r="D9" s="21">
        <v>1.3</v>
      </c>
      <c r="E9" s="22">
        <f t="shared" si="0"/>
        <v>4820</v>
      </c>
      <c r="F9" s="19"/>
      <c r="G9" s="19"/>
      <c r="H9" s="19"/>
      <c r="I9" s="20"/>
      <c r="J9" s="28"/>
    </row>
    <row r="10" spans="1:10">
      <c r="A10" s="21" t="s">
        <v>82</v>
      </c>
      <c r="B10" s="21" t="s">
        <v>77</v>
      </c>
      <c r="C10" s="21">
        <v>764</v>
      </c>
      <c r="D10" s="21">
        <v>1.5</v>
      </c>
      <c r="E10" s="22">
        <f t="shared" si="0"/>
        <v>15280</v>
      </c>
      <c r="F10" s="19"/>
      <c r="G10" s="19"/>
      <c r="H10" s="19"/>
      <c r="I10" s="20"/>
      <c r="J10" s="28"/>
    </row>
    <row r="11" spans="1:10">
      <c r="A11" s="21" t="s">
        <v>83</v>
      </c>
      <c r="B11" s="21" t="s">
        <v>77</v>
      </c>
      <c r="C11" s="21">
        <v>800</v>
      </c>
      <c r="D11" s="21">
        <v>1.4</v>
      </c>
      <c r="E11" s="22">
        <f t="shared" si="0"/>
        <v>16000</v>
      </c>
      <c r="F11" s="19"/>
      <c r="G11" s="19"/>
      <c r="H11" s="19"/>
      <c r="I11" s="20"/>
      <c r="J11" s="28"/>
    </row>
    <row r="12" spans="1:10">
      <c r="A12" s="21" t="s">
        <v>84</v>
      </c>
      <c r="B12" s="21" t="s">
        <v>77</v>
      </c>
      <c r="C12" s="21">
        <v>354</v>
      </c>
      <c r="D12" s="21">
        <v>1.5</v>
      </c>
      <c r="E12" s="22">
        <f t="shared" si="0"/>
        <v>7080</v>
      </c>
      <c r="F12" s="19"/>
      <c r="G12" s="19"/>
      <c r="H12" s="19"/>
      <c r="I12" s="20"/>
      <c r="J12" s="28"/>
    </row>
    <row r="13" spans="1:10">
      <c r="A13" s="21" t="s">
        <v>85</v>
      </c>
      <c r="B13" s="21" t="s">
        <v>77</v>
      </c>
      <c r="C13" s="21">
        <v>243</v>
      </c>
      <c r="D13" s="21">
        <v>1.4</v>
      </c>
      <c r="E13" s="22">
        <f t="shared" si="0"/>
        <v>4860</v>
      </c>
      <c r="F13" s="19"/>
      <c r="G13" s="19"/>
      <c r="H13" s="19"/>
      <c r="I13" s="20"/>
      <c r="J13" s="28"/>
    </row>
    <row r="14" spans="1:10">
      <c r="A14" s="21" t="s">
        <v>86</v>
      </c>
      <c r="B14" s="21" t="s">
        <v>87</v>
      </c>
      <c r="C14" s="21">
        <v>972</v>
      </c>
      <c r="D14" s="21">
        <v>2.6</v>
      </c>
      <c r="E14" s="22">
        <f t="shared" si="0"/>
        <v>19440</v>
      </c>
      <c r="F14" s="19"/>
      <c r="G14" s="19"/>
      <c r="H14" s="19"/>
      <c r="I14" s="20"/>
      <c r="J14" s="28"/>
    </row>
    <row r="15" spans="1:10">
      <c r="A15" s="21" t="s">
        <v>88</v>
      </c>
      <c r="B15" s="21" t="s">
        <v>87</v>
      </c>
      <c r="C15" s="21">
        <v>737</v>
      </c>
      <c r="D15" s="21">
        <v>1.7</v>
      </c>
      <c r="E15" s="22">
        <f t="shared" si="0"/>
        <v>14740</v>
      </c>
      <c r="F15" s="19"/>
      <c r="G15" s="19"/>
      <c r="H15" s="19"/>
      <c r="I15" s="20"/>
      <c r="J15" s="28"/>
    </row>
    <row r="16" spans="1:10">
      <c r="A16" s="21" t="s">
        <v>89</v>
      </c>
      <c r="B16" s="21" t="s">
        <v>87</v>
      </c>
      <c r="C16" s="21">
        <v>832</v>
      </c>
      <c r="D16" s="21">
        <v>2.4</v>
      </c>
      <c r="E16" s="22">
        <f t="shared" si="0"/>
        <v>16640</v>
      </c>
      <c r="F16" s="19"/>
      <c r="G16" s="19"/>
      <c r="H16" s="19"/>
      <c r="I16" s="20"/>
      <c r="J16" s="28"/>
    </row>
    <row r="17" spans="1:10">
      <c r="A17" s="21" t="s">
        <v>90</v>
      </c>
      <c r="B17" s="21" t="s">
        <v>87</v>
      </c>
      <c r="C17" s="21">
        <v>1535</v>
      </c>
      <c r="D17" s="21">
        <v>3.2</v>
      </c>
      <c r="E17" s="22">
        <f t="shared" si="0"/>
        <v>30700</v>
      </c>
      <c r="F17" s="19"/>
      <c r="G17" s="19"/>
      <c r="H17" s="19"/>
      <c r="I17" s="20"/>
      <c r="J17" s="28"/>
    </row>
    <row r="18" spans="1:10">
      <c r="A18" s="21" t="s">
        <v>91</v>
      </c>
      <c r="B18" s="21" t="s">
        <v>87</v>
      </c>
      <c r="C18" s="21">
        <v>1438</v>
      </c>
      <c r="D18" s="21">
        <v>2.4</v>
      </c>
      <c r="E18" s="22">
        <f t="shared" si="0"/>
        <v>28760</v>
      </c>
      <c r="F18" s="19"/>
      <c r="G18" s="19"/>
      <c r="H18" s="19"/>
      <c r="I18" s="20"/>
      <c r="J18" s="28"/>
    </row>
    <row r="19" spans="1:10">
      <c r="A19" s="21" t="s">
        <v>92</v>
      </c>
      <c r="B19" s="21" t="s">
        <v>87</v>
      </c>
      <c r="C19" s="21">
        <v>296</v>
      </c>
      <c r="D19" s="21">
        <v>2.5</v>
      </c>
      <c r="E19" s="22">
        <f t="shared" si="0"/>
        <v>5920</v>
      </c>
      <c r="F19" s="19"/>
      <c r="G19" s="19"/>
      <c r="H19" s="19"/>
      <c r="I19" s="20"/>
      <c r="J19" s="28"/>
    </row>
    <row r="20" spans="1:10">
      <c r="A20" s="21" t="s">
        <v>93</v>
      </c>
      <c r="B20" s="21" t="s">
        <v>87</v>
      </c>
      <c r="C20" s="21">
        <v>338</v>
      </c>
      <c r="D20" s="21">
        <v>3.4</v>
      </c>
      <c r="E20" s="22">
        <f t="shared" si="0"/>
        <v>6760</v>
      </c>
      <c r="F20" s="19"/>
      <c r="G20" s="19"/>
      <c r="H20" s="19"/>
      <c r="I20" s="20"/>
      <c r="J20" s="28"/>
    </row>
  </sheetData>
  <mergeCells count="2">
    <mergeCell ref="F3:I3"/>
    <mergeCell ref="A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74D1-7537-6A41-B5E2-4B48330502A5}">
  <sheetPr>
    <tabColor theme="4"/>
  </sheetPr>
  <dimension ref="A1:J24"/>
  <sheetViews>
    <sheetView zoomScale="159" zoomScaleNormal="159" zoomScalePageLayoutView="159" workbookViewId="0">
      <selection activeCell="A2" sqref="A2"/>
    </sheetView>
  </sheetViews>
  <sheetFormatPr defaultColWidth="11.125" defaultRowHeight="15.75"/>
  <cols>
    <col min="1" max="1" width="9.875" customWidth="1"/>
    <col min="2" max="2" width="11.5" bestFit="1" customWidth="1"/>
    <col min="3" max="3" width="13.5" bestFit="1" customWidth="1"/>
    <col min="4" max="4" width="13.125" bestFit="1" customWidth="1"/>
    <col min="5" max="5" width="14" bestFit="1" customWidth="1"/>
    <col min="6" max="6" width="15.5" bestFit="1" customWidth="1"/>
    <col min="7" max="10" width="16.125" bestFit="1" customWidth="1"/>
  </cols>
  <sheetData>
    <row r="1" spans="1:10" ht="26.25">
      <c r="A1" s="6" t="s">
        <v>259</v>
      </c>
    </row>
    <row r="2" spans="1:10" ht="16.5" thickBot="1"/>
    <row r="3" spans="1:10" ht="16.5" thickBot="1">
      <c r="A3" t="s">
        <v>180</v>
      </c>
      <c r="D3" s="32">
        <v>10</v>
      </c>
    </row>
    <row r="4" spans="1:10" ht="16.5" thickBot="1">
      <c r="A4" t="s">
        <v>181</v>
      </c>
      <c r="D4" s="32">
        <v>200</v>
      </c>
    </row>
    <row r="5" spans="1:10" ht="16.5" thickBot="1">
      <c r="A5" t="s">
        <v>182</v>
      </c>
      <c r="D5" s="33">
        <v>0.05</v>
      </c>
    </row>
    <row r="6" spans="1:10" ht="16.5" thickBot="1">
      <c r="A6" t="s">
        <v>183</v>
      </c>
      <c r="D6" s="33">
        <v>0.1</v>
      </c>
    </row>
    <row r="8" spans="1:10" s="34" customFormat="1" ht="123.95" customHeight="1">
      <c r="A8" s="34" t="s">
        <v>184</v>
      </c>
      <c r="B8" s="34" t="s">
        <v>185</v>
      </c>
      <c r="C8" s="34" t="s">
        <v>186</v>
      </c>
      <c r="D8" s="34" t="s">
        <v>187</v>
      </c>
      <c r="E8" s="35" t="s">
        <v>188</v>
      </c>
      <c r="F8" s="35" t="s">
        <v>189</v>
      </c>
      <c r="G8" s="35" t="s">
        <v>190</v>
      </c>
      <c r="H8" s="35" t="s">
        <v>191</v>
      </c>
      <c r="I8" s="35" t="s">
        <v>192</v>
      </c>
      <c r="J8" s="35" t="s">
        <v>193</v>
      </c>
    </row>
    <row r="9" spans="1:10">
      <c r="A9">
        <v>2016</v>
      </c>
      <c r="B9" t="s">
        <v>194</v>
      </c>
      <c r="C9" t="s">
        <v>77</v>
      </c>
      <c r="D9" s="36">
        <v>50</v>
      </c>
      <c r="F9" s="37"/>
      <c r="G9" s="38"/>
      <c r="H9" s="38"/>
      <c r="I9" s="38"/>
    </row>
    <row r="10" spans="1:10">
      <c r="A10">
        <v>2016</v>
      </c>
      <c r="B10" t="s">
        <v>195</v>
      </c>
      <c r="C10" t="s">
        <v>77</v>
      </c>
      <c r="D10" s="36">
        <v>10000</v>
      </c>
      <c r="F10" s="37"/>
      <c r="G10" s="38"/>
      <c r="H10" s="38"/>
      <c r="I10" s="38"/>
    </row>
    <row r="11" spans="1:10">
      <c r="A11">
        <v>2016</v>
      </c>
      <c r="B11" t="s">
        <v>196</v>
      </c>
      <c r="C11" t="s">
        <v>77</v>
      </c>
      <c r="D11" s="36">
        <v>644</v>
      </c>
      <c r="F11" s="37"/>
      <c r="G11" s="38"/>
      <c r="H11" s="38"/>
      <c r="I11" s="38"/>
    </row>
    <row r="12" spans="1:10">
      <c r="A12">
        <v>2016</v>
      </c>
      <c r="B12" t="s">
        <v>197</v>
      </c>
      <c r="C12" t="s">
        <v>77</v>
      </c>
      <c r="D12" s="36">
        <v>23618</v>
      </c>
      <c r="F12" s="37"/>
      <c r="G12" s="38"/>
      <c r="H12" s="38"/>
      <c r="I12" s="38"/>
    </row>
    <row r="13" spans="1:10">
      <c r="A13">
        <v>2016</v>
      </c>
      <c r="B13" t="s">
        <v>198</v>
      </c>
      <c r="C13" t="s">
        <v>77</v>
      </c>
      <c r="D13" s="36">
        <v>241</v>
      </c>
      <c r="F13" s="37"/>
      <c r="G13" s="38"/>
      <c r="H13" s="38"/>
      <c r="I13" s="38"/>
    </row>
    <row r="14" spans="1:10">
      <c r="A14">
        <v>2016</v>
      </c>
      <c r="B14" t="s">
        <v>199</v>
      </c>
      <c r="C14" t="s">
        <v>77</v>
      </c>
      <c r="D14" s="36">
        <v>764</v>
      </c>
      <c r="F14" s="37"/>
      <c r="G14" s="38"/>
      <c r="H14" s="38"/>
      <c r="I14" s="38"/>
    </row>
    <row r="15" spans="1:10">
      <c r="A15">
        <v>2016</v>
      </c>
      <c r="B15" t="s">
        <v>200</v>
      </c>
      <c r="C15" t="s">
        <v>77</v>
      </c>
      <c r="D15" s="36">
        <v>82300</v>
      </c>
      <c r="F15" s="37"/>
      <c r="G15" s="38"/>
      <c r="H15" s="38"/>
      <c r="I15" s="38"/>
    </row>
    <row r="16" spans="1:10">
      <c r="A16">
        <v>2016</v>
      </c>
      <c r="B16" t="s">
        <v>201</v>
      </c>
      <c r="C16" t="s">
        <v>77</v>
      </c>
      <c r="D16" s="36">
        <v>354</v>
      </c>
      <c r="F16" s="37"/>
      <c r="G16" s="38"/>
      <c r="H16" s="38"/>
      <c r="I16" s="38"/>
    </row>
    <row r="17" spans="1:9">
      <c r="A17">
        <v>2016</v>
      </c>
      <c r="B17" t="s">
        <v>202</v>
      </c>
      <c r="C17" t="s">
        <v>77</v>
      </c>
      <c r="D17" s="36">
        <v>2433</v>
      </c>
      <c r="F17" s="37"/>
      <c r="G17" s="38"/>
      <c r="H17" s="38"/>
      <c r="I17" s="38"/>
    </row>
    <row r="18" spans="1:9">
      <c r="A18">
        <v>2016</v>
      </c>
      <c r="B18" t="s">
        <v>203</v>
      </c>
      <c r="C18" t="s">
        <v>87</v>
      </c>
      <c r="D18" s="36">
        <v>972</v>
      </c>
      <c r="F18" s="37"/>
      <c r="G18" s="38"/>
      <c r="H18" s="38"/>
      <c r="I18" s="38"/>
    </row>
    <row r="19" spans="1:9">
      <c r="A19">
        <v>2016</v>
      </c>
      <c r="B19" t="s">
        <v>204</v>
      </c>
      <c r="C19" t="s">
        <v>87</v>
      </c>
      <c r="D19" s="36">
        <v>23</v>
      </c>
      <c r="F19" s="37"/>
      <c r="G19" s="38"/>
      <c r="H19" s="38"/>
      <c r="I19" s="38"/>
    </row>
    <row r="20" spans="1:9">
      <c r="A20">
        <v>2016</v>
      </c>
      <c r="B20" t="s">
        <v>205</v>
      </c>
      <c r="C20" t="s">
        <v>87</v>
      </c>
      <c r="D20" s="36">
        <v>12332</v>
      </c>
      <c r="F20" s="37"/>
      <c r="G20" s="38"/>
      <c r="H20" s="38"/>
      <c r="I20" s="38"/>
    </row>
    <row r="21" spans="1:9">
      <c r="A21">
        <v>2017</v>
      </c>
      <c r="B21" t="s">
        <v>194</v>
      </c>
      <c r="C21" t="s">
        <v>87</v>
      </c>
      <c r="D21" s="36">
        <v>1535</v>
      </c>
      <c r="F21" s="37"/>
      <c r="G21" s="38"/>
      <c r="H21" s="38"/>
      <c r="I21" s="38"/>
    </row>
    <row r="22" spans="1:9">
      <c r="A22">
        <v>2017</v>
      </c>
      <c r="B22" t="s">
        <v>195</v>
      </c>
      <c r="C22" t="s">
        <v>87</v>
      </c>
      <c r="D22" s="36">
        <v>1438</v>
      </c>
      <c r="F22" s="37"/>
      <c r="G22" s="38"/>
      <c r="H22" s="38"/>
      <c r="I22" s="38"/>
    </row>
    <row r="23" spans="1:9">
      <c r="A23">
        <v>2017</v>
      </c>
      <c r="B23" t="s">
        <v>196</v>
      </c>
      <c r="C23" t="s">
        <v>87</v>
      </c>
      <c r="D23" s="36">
        <v>296</v>
      </c>
      <c r="F23" s="37"/>
      <c r="G23" s="38"/>
      <c r="H23" s="38"/>
      <c r="I23" s="38"/>
    </row>
    <row r="24" spans="1:9">
      <c r="A24">
        <v>2017</v>
      </c>
      <c r="B24" t="s">
        <v>197</v>
      </c>
      <c r="C24" t="s">
        <v>87</v>
      </c>
      <c r="D24" s="36">
        <v>2381</v>
      </c>
      <c r="F24" s="37"/>
      <c r="G24" s="38"/>
      <c r="H24" s="38"/>
      <c r="I24" s="3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08A2-40B2-E44F-B570-AF275C522861}">
  <sheetPr>
    <tabColor theme="9"/>
  </sheetPr>
  <dimension ref="A1:D118"/>
  <sheetViews>
    <sheetView topLeftCell="A41" zoomScale="135" zoomScaleNormal="135" zoomScalePageLayoutView="135" workbookViewId="0">
      <selection activeCell="D26" sqref="D26"/>
    </sheetView>
  </sheetViews>
  <sheetFormatPr defaultColWidth="11" defaultRowHeight="15.75"/>
  <cols>
    <col min="1" max="1" width="17.875" customWidth="1"/>
    <col min="2" max="2" width="34.625" bestFit="1" customWidth="1"/>
  </cols>
  <sheetData>
    <row r="1" spans="1:2" ht="26.25">
      <c r="A1" s="6" t="s">
        <v>206</v>
      </c>
    </row>
    <row r="2" spans="1:2">
      <c r="A2" s="53"/>
      <c r="B2" s="53"/>
    </row>
    <row r="5" spans="1:2">
      <c r="A5" t="s">
        <v>207</v>
      </c>
    </row>
    <row r="6" spans="1:2">
      <c r="A6" t="s">
        <v>208</v>
      </c>
    </row>
    <row r="8" spans="1:2">
      <c r="A8" t="s">
        <v>209</v>
      </c>
    </row>
    <row r="10" spans="1:2" ht="16.5" thickBot="1">
      <c r="A10" t="s">
        <v>210</v>
      </c>
    </row>
    <row r="11" spans="1:2">
      <c r="A11" s="39" t="s">
        <v>211</v>
      </c>
      <c r="B11" s="40">
        <v>10</v>
      </c>
    </row>
    <row r="12" spans="1:2">
      <c r="A12" s="41" t="s">
        <v>212</v>
      </c>
      <c r="B12" s="42">
        <v>20</v>
      </c>
    </row>
    <row r="13" spans="1:2" ht="16.5" thickBot="1">
      <c r="A13" s="43" t="s">
        <v>213</v>
      </c>
      <c r="B13" s="44">
        <v>30</v>
      </c>
    </row>
    <row r="15" spans="1:2">
      <c r="A15" s="45" t="s">
        <v>214</v>
      </c>
    </row>
    <row r="17" spans="1:4">
      <c r="A17" t="s">
        <v>215</v>
      </c>
    </row>
    <row r="18" spans="1:4">
      <c r="A18" s="46" t="s">
        <v>216</v>
      </c>
      <c r="B18" s="47" t="s">
        <v>217</v>
      </c>
      <c r="C18" s="48" t="s">
        <v>218</v>
      </c>
    </row>
    <row r="19" spans="1:4">
      <c r="A19" s="46" t="s">
        <v>219</v>
      </c>
      <c r="B19" s="47" t="s">
        <v>220</v>
      </c>
      <c r="C19" s="48" t="s">
        <v>221</v>
      </c>
    </row>
    <row r="20" spans="1:4">
      <c r="A20" s="46" t="s">
        <v>222</v>
      </c>
      <c r="B20" s="47" t="s">
        <v>223</v>
      </c>
      <c r="C20" s="48" t="s">
        <v>224</v>
      </c>
    </row>
    <row r="21" spans="1:4">
      <c r="C21" s="48" t="s">
        <v>225</v>
      </c>
    </row>
    <row r="22" spans="1:4">
      <c r="C22" s="48" t="s">
        <v>226</v>
      </c>
    </row>
    <row r="25" spans="1:4">
      <c r="A25" s="49" t="s">
        <v>227</v>
      </c>
      <c r="B25" t="s">
        <v>228</v>
      </c>
      <c r="C25" t="s">
        <v>229</v>
      </c>
      <c r="D25" t="s">
        <v>230</v>
      </c>
    </row>
    <row r="26" spans="1:4">
      <c r="A26" t="s">
        <v>211</v>
      </c>
      <c r="B26">
        <f>IF(Table13[[#This Row],[Color]]="Blue", 10, 0)</f>
        <v>10</v>
      </c>
      <c r="C26">
        <f>IF(Table13[[#This Row],[Color]]="Blue", 10, 20)</f>
        <v>10</v>
      </c>
      <c r="D26">
        <f t="shared" ref="D26:D34" si="0">IF(A24="Blue", 10, IF(A24="Red", 20, 30))</f>
        <v>30</v>
      </c>
    </row>
    <row r="27" spans="1:4">
      <c r="A27" t="s">
        <v>212</v>
      </c>
      <c r="B27">
        <f>IF(Table13[[#This Row],[Color]]="Blue", 10, 0)</f>
        <v>0</v>
      </c>
      <c r="C27">
        <f>IF(Table13[[#This Row],[Color]]="Blue", 10, 20)</f>
        <v>20</v>
      </c>
      <c r="D27">
        <f t="shared" si="0"/>
        <v>30</v>
      </c>
    </row>
    <row r="28" spans="1:4">
      <c r="A28" t="s">
        <v>212</v>
      </c>
      <c r="B28">
        <f>IF(Table13[[#This Row],[Color]]="Blue", 10, 0)</f>
        <v>0</v>
      </c>
      <c r="C28">
        <f>IF(Table13[[#This Row],[Color]]="Blue", 10, 20)</f>
        <v>20</v>
      </c>
      <c r="D28">
        <f t="shared" si="0"/>
        <v>10</v>
      </c>
    </row>
    <row r="29" spans="1:4">
      <c r="A29" t="s">
        <v>212</v>
      </c>
      <c r="B29">
        <f>IF(Table13[[#This Row],[Color]]="Blue", 10, 0)</f>
        <v>0</v>
      </c>
      <c r="C29">
        <f>IF(Table13[[#This Row],[Color]]="Blue", 10, 20)</f>
        <v>20</v>
      </c>
      <c r="D29">
        <f t="shared" si="0"/>
        <v>20</v>
      </c>
    </row>
    <row r="30" spans="1:4">
      <c r="A30" t="s">
        <v>213</v>
      </c>
      <c r="B30">
        <f>IF(Table13[[#This Row],[Color]]="Blue", 10, 0)</f>
        <v>0</v>
      </c>
      <c r="C30">
        <f>IF(Table13[[#This Row],[Color]]="Blue", 10, 20)</f>
        <v>20</v>
      </c>
      <c r="D30">
        <f t="shared" si="0"/>
        <v>20</v>
      </c>
    </row>
    <row r="31" spans="1:4">
      <c r="A31" t="s">
        <v>213</v>
      </c>
      <c r="B31">
        <f>IF(Table13[[#This Row],[Color]]="Blue", 10, 0)</f>
        <v>0</v>
      </c>
      <c r="C31">
        <f>IF(Table13[[#This Row],[Color]]="Blue", 10, 20)</f>
        <v>20</v>
      </c>
      <c r="D31">
        <f t="shared" si="0"/>
        <v>20</v>
      </c>
    </row>
    <row r="32" spans="1:4">
      <c r="A32" t="s">
        <v>211</v>
      </c>
      <c r="B32">
        <f>IF(Table13[[#This Row],[Color]]="Blue", 10, 0)</f>
        <v>10</v>
      </c>
      <c r="C32">
        <f>IF(Table13[[#This Row],[Color]]="Blue", 10, 20)</f>
        <v>10</v>
      </c>
      <c r="D32">
        <f t="shared" si="0"/>
        <v>30</v>
      </c>
    </row>
    <row r="33" spans="1:4">
      <c r="A33" t="s">
        <v>211</v>
      </c>
      <c r="B33">
        <f>IF(Table13[[#This Row],[Color]]="Blue", 10, 0)</f>
        <v>10</v>
      </c>
      <c r="C33">
        <f>IF(Table13[[#This Row],[Color]]="Blue", 10, 20)</f>
        <v>10</v>
      </c>
      <c r="D33">
        <f t="shared" si="0"/>
        <v>30</v>
      </c>
    </row>
    <row r="34" spans="1:4">
      <c r="A34" t="s">
        <v>213</v>
      </c>
      <c r="B34">
        <f>IF(Table13[[#This Row],[Color]]="Blue", 10, 0)</f>
        <v>0</v>
      </c>
      <c r="C34">
        <f>IF(Table13[[#This Row],[Color]]="Blue", 10, 20)</f>
        <v>20</v>
      </c>
      <c r="D34">
        <f t="shared" si="0"/>
        <v>10</v>
      </c>
    </row>
    <row r="38" spans="1:4">
      <c r="A38" s="55" t="s">
        <v>25</v>
      </c>
      <c r="B38" s="55"/>
      <c r="C38" s="55"/>
      <c r="D38" s="55"/>
    </row>
    <row r="40" spans="1:4">
      <c r="A40" t="s">
        <v>231</v>
      </c>
    </row>
    <row r="41" spans="1:4">
      <c r="A41" t="s">
        <v>232</v>
      </c>
    </row>
    <row r="42" spans="1:4">
      <c r="A42" t="s">
        <v>233</v>
      </c>
    </row>
    <row r="43" spans="1:4">
      <c r="A43" t="s">
        <v>234</v>
      </c>
    </row>
    <row r="45" spans="1:4">
      <c r="A45" t="s">
        <v>118</v>
      </c>
      <c r="B45" t="s">
        <v>235</v>
      </c>
    </row>
    <row r="46" spans="1:4">
      <c r="A46" t="s">
        <v>133</v>
      </c>
    </row>
    <row r="47" spans="1:4">
      <c r="A47" t="s">
        <v>164</v>
      </c>
    </row>
    <row r="48" spans="1:4">
      <c r="A48" t="s">
        <v>140</v>
      </c>
    </row>
    <row r="49" spans="1:2">
      <c r="A49" t="s">
        <v>175</v>
      </c>
    </row>
    <row r="50" spans="1:2">
      <c r="A50" t="s">
        <v>140</v>
      </c>
    </row>
    <row r="51" spans="1:2">
      <c r="A51" t="s">
        <v>140</v>
      </c>
    </row>
    <row r="52" spans="1:2">
      <c r="A52" t="s">
        <v>133</v>
      </c>
    </row>
    <row r="53" spans="1:2">
      <c r="A53" t="s">
        <v>133</v>
      </c>
    </row>
    <row r="54" spans="1:2">
      <c r="A54" t="s">
        <v>133</v>
      </c>
    </row>
    <row r="57" spans="1:2">
      <c r="A57" t="s">
        <v>236</v>
      </c>
    </row>
    <row r="58" spans="1:2">
      <c r="A58" t="s">
        <v>232</v>
      </c>
    </row>
    <row r="59" spans="1:2">
      <c r="A59" t="s">
        <v>233</v>
      </c>
    </row>
    <row r="60" spans="1:2">
      <c r="A60" t="s">
        <v>237</v>
      </c>
    </row>
    <row r="61" spans="1:2">
      <c r="A61" t="s">
        <v>234</v>
      </c>
    </row>
    <row r="63" spans="1:2">
      <c r="A63" t="s">
        <v>118</v>
      </c>
      <c r="B63" t="s">
        <v>235</v>
      </c>
    </row>
    <row r="64" spans="1:2">
      <c r="A64" t="s">
        <v>133</v>
      </c>
    </row>
    <row r="65" spans="1:1">
      <c r="A65" t="s">
        <v>164</v>
      </c>
    </row>
    <row r="66" spans="1:1">
      <c r="A66" t="s">
        <v>140</v>
      </c>
    </row>
    <row r="67" spans="1:1">
      <c r="A67" t="s">
        <v>175</v>
      </c>
    </row>
    <row r="68" spans="1:1">
      <c r="A68" t="s">
        <v>140</v>
      </c>
    </row>
    <row r="69" spans="1:1">
      <c r="A69" t="s">
        <v>140</v>
      </c>
    </row>
    <row r="70" spans="1:1">
      <c r="A70" t="s">
        <v>171</v>
      </c>
    </row>
    <row r="71" spans="1:1">
      <c r="A71" t="s">
        <v>133</v>
      </c>
    </row>
    <row r="72" spans="1:1">
      <c r="A72" t="s">
        <v>133</v>
      </c>
    </row>
    <row r="73" spans="1:1">
      <c r="A73" t="s">
        <v>171</v>
      </c>
    </row>
    <row r="74" spans="1:1">
      <c r="A74" t="s">
        <v>140</v>
      </c>
    </row>
    <row r="75" spans="1:1">
      <c r="A75" t="s">
        <v>156</v>
      </c>
    </row>
    <row r="79" spans="1:1">
      <c r="A79" t="s">
        <v>238</v>
      </c>
    </row>
    <row r="80" spans="1:1">
      <c r="A80" t="s">
        <v>232</v>
      </c>
    </row>
    <row r="81" spans="1:2">
      <c r="A81" t="s">
        <v>233</v>
      </c>
    </row>
    <row r="82" spans="1:2">
      <c r="A82" t="s">
        <v>237</v>
      </c>
    </row>
    <row r="83" spans="1:2">
      <c r="A83" t="s">
        <v>239</v>
      </c>
    </row>
    <row r="84" spans="1:2">
      <c r="A84" t="s">
        <v>234</v>
      </c>
    </row>
    <row r="86" spans="1:2">
      <c r="A86" t="s">
        <v>118</v>
      </c>
      <c r="B86" t="s">
        <v>235</v>
      </c>
    </row>
    <row r="87" spans="1:2">
      <c r="A87" t="s">
        <v>133</v>
      </c>
    </row>
    <row r="88" spans="1:2">
      <c r="A88" t="s">
        <v>164</v>
      </c>
    </row>
    <row r="89" spans="1:2">
      <c r="A89" t="s">
        <v>140</v>
      </c>
    </row>
    <row r="90" spans="1:2">
      <c r="A90" t="s">
        <v>175</v>
      </c>
    </row>
    <row r="91" spans="1:2">
      <c r="A91" t="s">
        <v>140</v>
      </c>
    </row>
    <row r="92" spans="1:2">
      <c r="A92" t="s">
        <v>140</v>
      </c>
    </row>
    <row r="93" spans="1:2">
      <c r="A93" t="s">
        <v>171</v>
      </c>
    </row>
    <row r="94" spans="1:2">
      <c r="A94" t="s">
        <v>133</v>
      </c>
    </row>
    <row r="95" spans="1:2">
      <c r="A95" t="s">
        <v>133</v>
      </c>
    </row>
    <row r="96" spans="1:2">
      <c r="A96" t="s">
        <v>171</v>
      </c>
    </row>
    <row r="97" spans="1:3">
      <c r="A97" t="s">
        <v>140</v>
      </c>
    </row>
    <row r="98" spans="1:3">
      <c r="A98" t="s">
        <v>156</v>
      </c>
    </row>
    <row r="101" spans="1:3">
      <c r="A101" t="s">
        <v>240</v>
      </c>
    </row>
    <row r="102" spans="1:3">
      <c r="B102" t="s">
        <v>241</v>
      </c>
    </row>
    <row r="103" spans="1:3">
      <c r="B103" t="s">
        <v>242</v>
      </c>
    </row>
    <row r="104" spans="1:3">
      <c r="B104" t="s">
        <v>243</v>
      </c>
    </row>
    <row r="106" spans="1:3">
      <c r="A106" t="s">
        <v>118</v>
      </c>
      <c r="B106" t="s">
        <v>235</v>
      </c>
      <c r="C106" t="s">
        <v>244</v>
      </c>
    </row>
    <row r="107" spans="1:3">
      <c r="A107" t="s">
        <v>133</v>
      </c>
    </row>
    <row r="108" spans="1:3">
      <c r="A108" t="s">
        <v>164</v>
      </c>
    </row>
    <row r="109" spans="1:3">
      <c r="A109" t="s">
        <v>140</v>
      </c>
    </row>
    <row r="110" spans="1:3">
      <c r="A110" t="s">
        <v>175</v>
      </c>
    </row>
    <row r="111" spans="1:3">
      <c r="A111" t="s">
        <v>140</v>
      </c>
    </row>
    <row r="112" spans="1:3">
      <c r="A112" t="s">
        <v>140</v>
      </c>
    </row>
    <row r="113" spans="1:1">
      <c r="A113" t="s">
        <v>171</v>
      </c>
    </row>
    <row r="114" spans="1:1">
      <c r="A114" t="s">
        <v>133</v>
      </c>
    </row>
    <row r="115" spans="1:1">
      <c r="A115" t="s">
        <v>133</v>
      </c>
    </row>
    <row r="116" spans="1:1">
      <c r="A116" t="s">
        <v>171</v>
      </c>
    </row>
    <row r="117" spans="1:1">
      <c r="A117" t="s">
        <v>140</v>
      </c>
    </row>
    <row r="118" spans="1:1">
      <c r="A118" t="s">
        <v>156</v>
      </c>
    </row>
  </sheetData>
  <mergeCells count="2">
    <mergeCell ref="A2:B2"/>
    <mergeCell ref="A38:D38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1928-BA60-9248-87B4-6B7F45EF3B29}">
  <sheetPr>
    <tabColor theme="9"/>
  </sheetPr>
  <dimension ref="A1:D119"/>
  <sheetViews>
    <sheetView zoomScale="157" zoomScaleNormal="157" zoomScalePageLayoutView="157" workbookViewId="0">
      <selection activeCell="B6" sqref="B6"/>
    </sheetView>
  </sheetViews>
  <sheetFormatPr defaultColWidth="11" defaultRowHeight="15.75"/>
  <cols>
    <col min="1" max="1" width="17.875" customWidth="1"/>
    <col min="2" max="2" width="34.625" bestFit="1" customWidth="1"/>
  </cols>
  <sheetData>
    <row r="1" spans="1:2" ht="26.25">
      <c r="A1" s="6" t="s">
        <v>245</v>
      </c>
    </row>
    <row r="2" spans="1:2">
      <c r="A2" s="53" t="s">
        <v>1</v>
      </c>
      <c r="B2" s="53"/>
    </row>
    <row r="5" spans="1:2">
      <c r="A5" t="s">
        <v>246</v>
      </c>
    </row>
    <row r="6" spans="1:2">
      <c r="A6" t="s">
        <v>247</v>
      </c>
    </row>
    <row r="8" spans="1:2">
      <c r="A8" t="s">
        <v>248</v>
      </c>
    </row>
    <row r="9" spans="1:2">
      <c r="A9" s="49" t="s">
        <v>249</v>
      </c>
    </row>
    <row r="10" spans="1:2">
      <c r="A10" s="49" t="s">
        <v>250</v>
      </c>
    </row>
    <row r="12" spans="1:2" ht="16.5" thickBot="1">
      <c r="A12" t="s">
        <v>210</v>
      </c>
    </row>
    <row r="13" spans="1:2">
      <c r="A13" s="39" t="s">
        <v>211</v>
      </c>
      <c r="B13" s="40">
        <v>10</v>
      </c>
    </row>
    <row r="14" spans="1:2">
      <c r="A14" s="41" t="s">
        <v>212</v>
      </c>
      <c r="B14" s="42">
        <v>20</v>
      </c>
    </row>
    <row r="15" spans="1:2" ht="16.5" thickBot="1">
      <c r="A15" s="43" t="s">
        <v>213</v>
      </c>
      <c r="B15" s="44">
        <v>30</v>
      </c>
    </row>
    <row r="17" spans="1:4">
      <c r="A17" s="45" t="s">
        <v>214</v>
      </c>
    </row>
    <row r="19" spans="1:4">
      <c r="A19" t="s">
        <v>215</v>
      </c>
    </row>
    <row r="20" spans="1:4">
      <c r="A20" s="46" t="s">
        <v>216</v>
      </c>
      <c r="B20" s="47" t="s">
        <v>251</v>
      </c>
      <c r="C20" s="48" t="s">
        <v>218</v>
      </c>
    </row>
    <row r="21" spans="1:4" ht="32.1" customHeight="1">
      <c r="A21" s="46" t="s">
        <v>219</v>
      </c>
      <c r="B21" s="50" t="s">
        <v>252</v>
      </c>
      <c r="C21" s="48" t="s">
        <v>253</v>
      </c>
    </row>
    <row r="22" spans="1:4" ht="31.5">
      <c r="A22" s="46" t="s">
        <v>219</v>
      </c>
      <c r="B22" s="50" t="s">
        <v>254</v>
      </c>
      <c r="C22" s="48" t="s">
        <v>255</v>
      </c>
    </row>
    <row r="23" spans="1:4">
      <c r="B23" s="51"/>
      <c r="C23" s="48" t="s">
        <v>256</v>
      </c>
    </row>
    <row r="24" spans="1:4">
      <c r="C24" s="48"/>
    </row>
    <row r="27" spans="1:4">
      <c r="A27" s="49" t="s">
        <v>227</v>
      </c>
      <c r="B27" t="s">
        <v>228</v>
      </c>
      <c r="C27" t="s">
        <v>229</v>
      </c>
      <c r="D27" t="s">
        <v>230</v>
      </c>
    </row>
    <row r="28" spans="1:4">
      <c r="A28" t="s">
        <v>211</v>
      </c>
      <c r="B28">
        <f>IF(Table16[[#This Row],[Color]]="Blue", 10, 0)</f>
        <v>10</v>
      </c>
      <c r="C28">
        <f t="shared" ref="C28:C36" si="0">IF(A28="Blue", 10, 0) + IF(A28="Red", 20, 0)</f>
        <v>10</v>
      </c>
      <c r="D28">
        <f t="shared" ref="D28:D36" si="1">IF(A28="Blue", 10, 0) + IF(A28="Red", 20, 0) + IF(A28="Yellow", 30, 0)</f>
        <v>10</v>
      </c>
    </row>
    <row r="29" spans="1:4">
      <c r="A29" t="s">
        <v>212</v>
      </c>
      <c r="B29">
        <f>IF(Table16[[#This Row],[Color]]="Blue", 10, 0)</f>
        <v>0</v>
      </c>
      <c r="C29">
        <f t="shared" si="0"/>
        <v>20</v>
      </c>
      <c r="D29">
        <f t="shared" si="1"/>
        <v>20</v>
      </c>
    </row>
    <row r="30" spans="1:4">
      <c r="A30" t="s">
        <v>212</v>
      </c>
      <c r="B30">
        <f>IF(Table16[[#This Row],[Color]]="Blue", 10, 0)</f>
        <v>0</v>
      </c>
      <c r="C30">
        <f t="shared" si="0"/>
        <v>20</v>
      </c>
      <c r="D30">
        <f t="shared" si="1"/>
        <v>20</v>
      </c>
    </row>
    <row r="31" spans="1:4">
      <c r="A31" t="s">
        <v>212</v>
      </c>
      <c r="B31">
        <f>IF(Table16[[#This Row],[Color]]="Blue", 10, 0)</f>
        <v>0</v>
      </c>
      <c r="C31">
        <f t="shared" si="0"/>
        <v>20</v>
      </c>
      <c r="D31">
        <f t="shared" si="1"/>
        <v>20</v>
      </c>
    </row>
    <row r="32" spans="1:4">
      <c r="A32" t="s">
        <v>213</v>
      </c>
      <c r="B32">
        <f>IF(Table16[[#This Row],[Color]]="Blue", 10, 0)</f>
        <v>0</v>
      </c>
      <c r="C32">
        <f t="shared" si="0"/>
        <v>0</v>
      </c>
      <c r="D32">
        <f t="shared" si="1"/>
        <v>30</v>
      </c>
    </row>
    <row r="33" spans="1:4">
      <c r="A33" t="s">
        <v>213</v>
      </c>
      <c r="B33">
        <f>IF(Table16[[#This Row],[Color]]="Blue", 10, 0)</f>
        <v>0</v>
      </c>
      <c r="C33">
        <f t="shared" si="0"/>
        <v>0</v>
      </c>
      <c r="D33">
        <f t="shared" si="1"/>
        <v>30</v>
      </c>
    </row>
    <row r="34" spans="1:4">
      <c r="A34" t="s">
        <v>211</v>
      </c>
      <c r="B34">
        <f>IF(Table16[[#This Row],[Color]]="Blue", 10, 0)</f>
        <v>10</v>
      </c>
      <c r="C34">
        <f t="shared" si="0"/>
        <v>10</v>
      </c>
      <c r="D34">
        <f t="shared" si="1"/>
        <v>10</v>
      </c>
    </row>
    <row r="35" spans="1:4">
      <c r="A35" t="s">
        <v>211</v>
      </c>
      <c r="B35">
        <f>IF(Table16[[#This Row],[Color]]="Blue", 10, 0)</f>
        <v>10</v>
      </c>
      <c r="C35">
        <f t="shared" si="0"/>
        <v>10</v>
      </c>
      <c r="D35">
        <f t="shared" si="1"/>
        <v>10</v>
      </c>
    </row>
    <row r="36" spans="1:4">
      <c r="A36" t="s">
        <v>213</v>
      </c>
      <c r="B36">
        <f>IF(Table16[[#This Row],[Color]]="Blue", 10, 0)</f>
        <v>0</v>
      </c>
      <c r="C36">
        <f t="shared" si="0"/>
        <v>0</v>
      </c>
      <c r="D36">
        <f t="shared" si="1"/>
        <v>30</v>
      </c>
    </row>
    <row r="40" spans="1:4">
      <c r="A40" s="55" t="s">
        <v>25</v>
      </c>
      <c r="B40" s="55"/>
      <c r="C40" s="55"/>
      <c r="D40" s="55"/>
    </row>
    <row r="42" spans="1:4">
      <c r="A42" t="s">
        <v>231</v>
      </c>
    </row>
    <row r="43" spans="1:4">
      <c r="A43" t="s">
        <v>232</v>
      </c>
    </row>
    <row r="44" spans="1:4">
      <c r="A44" t="s">
        <v>233</v>
      </c>
    </row>
    <row r="45" spans="1:4">
      <c r="A45" t="s">
        <v>234</v>
      </c>
    </row>
    <row r="47" spans="1:4">
      <c r="A47" t="s">
        <v>118</v>
      </c>
      <c r="B47" t="s">
        <v>235</v>
      </c>
    </row>
    <row r="48" spans="1:4">
      <c r="A48" t="s">
        <v>133</v>
      </c>
    </row>
    <row r="49" spans="1:1">
      <c r="A49" t="s">
        <v>164</v>
      </c>
    </row>
    <row r="50" spans="1:1">
      <c r="A50" t="s">
        <v>140</v>
      </c>
    </row>
    <row r="51" spans="1:1">
      <c r="A51" t="s">
        <v>175</v>
      </c>
    </row>
    <row r="52" spans="1:1">
      <c r="A52" t="s">
        <v>140</v>
      </c>
    </row>
    <row r="53" spans="1:1">
      <c r="A53" t="s">
        <v>140</v>
      </c>
    </row>
    <row r="54" spans="1:1">
      <c r="A54" t="s">
        <v>133</v>
      </c>
    </row>
    <row r="55" spans="1:1">
      <c r="A55" t="s">
        <v>133</v>
      </c>
    </row>
    <row r="56" spans="1:1">
      <c r="A56" t="s">
        <v>133</v>
      </c>
    </row>
    <row r="59" spans="1:1">
      <c r="A59" t="s">
        <v>236</v>
      </c>
    </row>
    <row r="60" spans="1:1">
      <c r="A60" t="s">
        <v>232</v>
      </c>
    </row>
    <row r="61" spans="1:1">
      <c r="A61" t="s">
        <v>233</v>
      </c>
    </row>
    <row r="62" spans="1:1">
      <c r="A62" t="s">
        <v>237</v>
      </c>
    </row>
    <row r="63" spans="1:1">
      <c r="A63" t="s">
        <v>234</v>
      </c>
    </row>
    <row r="65" spans="1:2">
      <c r="A65" t="s">
        <v>118</v>
      </c>
      <c r="B65" t="s">
        <v>235</v>
      </c>
    </row>
    <row r="66" spans="1:2">
      <c r="A66" t="s">
        <v>133</v>
      </c>
    </row>
    <row r="67" spans="1:2">
      <c r="A67" t="s">
        <v>164</v>
      </c>
    </row>
    <row r="68" spans="1:2">
      <c r="A68" t="s">
        <v>140</v>
      </c>
    </row>
    <row r="69" spans="1:2">
      <c r="A69" t="s">
        <v>175</v>
      </c>
    </row>
    <row r="70" spans="1:2">
      <c r="A70" t="s">
        <v>140</v>
      </c>
    </row>
    <row r="71" spans="1:2">
      <c r="A71" t="s">
        <v>140</v>
      </c>
    </row>
    <row r="72" spans="1:2">
      <c r="A72" t="s">
        <v>171</v>
      </c>
    </row>
    <row r="73" spans="1:2">
      <c r="A73" t="s">
        <v>133</v>
      </c>
    </row>
    <row r="74" spans="1:2">
      <c r="A74" t="s">
        <v>133</v>
      </c>
    </row>
    <row r="75" spans="1:2">
      <c r="A75" t="s">
        <v>171</v>
      </c>
    </row>
    <row r="76" spans="1:2">
      <c r="A76" t="s">
        <v>140</v>
      </c>
    </row>
    <row r="77" spans="1:2">
      <c r="A77" t="s">
        <v>156</v>
      </c>
    </row>
    <row r="81" spans="1:2">
      <c r="A81" t="s">
        <v>238</v>
      </c>
    </row>
    <row r="82" spans="1:2">
      <c r="A82" t="s">
        <v>232</v>
      </c>
    </row>
    <row r="83" spans="1:2">
      <c r="A83" t="s">
        <v>233</v>
      </c>
    </row>
    <row r="84" spans="1:2">
      <c r="A84" t="s">
        <v>237</v>
      </c>
    </row>
    <row r="85" spans="1:2">
      <c r="A85" t="s">
        <v>239</v>
      </c>
    </row>
    <row r="86" spans="1:2">
      <c r="A86" t="s">
        <v>234</v>
      </c>
    </row>
    <row r="88" spans="1:2">
      <c r="A88" t="s">
        <v>118</v>
      </c>
      <c r="B88" t="s">
        <v>235</v>
      </c>
    </row>
    <row r="89" spans="1:2">
      <c r="A89" t="s">
        <v>133</v>
      </c>
    </row>
    <row r="90" spans="1:2">
      <c r="A90" t="s">
        <v>164</v>
      </c>
    </row>
    <row r="91" spans="1:2">
      <c r="A91" t="s">
        <v>140</v>
      </c>
    </row>
    <row r="92" spans="1:2">
      <c r="A92" t="s">
        <v>175</v>
      </c>
    </row>
    <row r="93" spans="1:2">
      <c r="A93" t="s">
        <v>140</v>
      </c>
    </row>
    <row r="94" spans="1:2">
      <c r="A94" t="s">
        <v>140</v>
      </c>
    </row>
    <row r="95" spans="1:2">
      <c r="A95" t="s">
        <v>171</v>
      </c>
    </row>
    <row r="96" spans="1:2">
      <c r="A96" t="s">
        <v>133</v>
      </c>
    </row>
    <row r="97" spans="1:3">
      <c r="A97" t="s">
        <v>133</v>
      </c>
    </row>
    <row r="98" spans="1:3">
      <c r="A98" t="s">
        <v>171</v>
      </c>
    </row>
    <row r="99" spans="1:3">
      <c r="A99" t="s">
        <v>140</v>
      </c>
    </row>
    <row r="100" spans="1:3">
      <c r="A100" t="s">
        <v>156</v>
      </c>
    </row>
    <row r="102" spans="1:3">
      <c r="A102" t="s">
        <v>240</v>
      </c>
    </row>
    <row r="103" spans="1:3">
      <c r="B103" t="s">
        <v>241</v>
      </c>
    </row>
    <row r="104" spans="1:3">
      <c r="B104" t="s">
        <v>242</v>
      </c>
    </row>
    <row r="105" spans="1:3">
      <c r="B105" t="s">
        <v>243</v>
      </c>
    </row>
    <row r="107" spans="1:3">
      <c r="A107" t="s">
        <v>118</v>
      </c>
      <c r="B107" t="s">
        <v>235</v>
      </c>
      <c r="C107" t="s">
        <v>244</v>
      </c>
    </row>
    <row r="108" spans="1:3">
      <c r="A108" t="s">
        <v>133</v>
      </c>
    </row>
    <row r="109" spans="1:3">
      <c r="A109" t="s">
        <v>164</v>
      </c>
    </row>
    <row r="110" spans="1:3">
      <c r="A110" t="s">
        <v>140</v>
      </c>
    </row>
    <row r="111" spans="1:3">
      <c r="A111" t="s">
        <v>175</v>
      </c>
    </row>
    <row r="112" spans="1:3">
      <c r="A112" t="s">
        <v>140</v>
      </c>
    </row>
    <row r="113" spans="1:1">
      <c r="A113" t="s">
        <v>140</v>
      </c>
    </row>
    <row r="114" spans="1:1">
      <c r="A114" t="s">
        <v>171</v>
      </c>
    </row>
    <row r="115" spans="1:1">
      <c r="A115" t="s">
        <v>133</v>
      </c>
    </row>
    <row r="116" spans="1:1">
      <c r="A116" t="s">
        <v>133</v>
      </c>
    </row>
    <row r="117" spans="1:1">
      <c r="A117" t="s">
        <v>171</v>
      </c>
    </row>
    <row r="118" spans="1:1">
      <c r="A118" t="s">
        <v>140</v>
      </c>
    </row>
    <row r="119" spans="1:1">
      <c r="A119" t="s">
        <v>156</v>
      </c>
    </row>
  </sheetData>
  <mergeCells count="2">
    <mergeCell ref="A2:B2"/>
    <mergeCell ref="A40:D40"/>
  </mergeCells>
  <hyperlinks>
    <hyperlink ref="A2" location="Overview!A1" display="Back to outcomes sheet" xr:uid="{427A90CF-1A67-7248-8FBA-C51E382C90E7}"/>
  </hyperlink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Overview</vt:lpstr>
      <vt:lpstr>True False</vt:lpstr>
      <vt:lpstr>And Or Not</vt:lpstr>
      <vt:lpstr>If</vt:lpstr>
      <vt:lpstr>If States</vt:lpstr>
      <vt:lpstr>IF Discounts</vt:lpstr>
      <vt:lpstr>IF Commission</vt:lpstr>
      <vt:lpstr>Nested If</vt:lpstr>
      <vt:lpstr>Added If</vt:lpstr>
      <vt:lpstr>bolts</vt:lpstr>
      <vt:lpstr>chickens</vt:lpstr>
      <vt:lpstr>cows</vt:lpstr>
      <vt:lpstr>ducks</vt:lpstr>
      <vt:lpstr>geckos</vt:lpstr>
      <vt:lpstr>nails</vt:lpstr>
      <vt:lpstr>nuts</vt:lpstr>
      <vt:lpstr>puppies</vt:lpstr>
      <vt:lpstr>screws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2016-01-23T00:46:17Z</dcterms:created>
  <dcterms:modified xsi:type="dcterms:W3CDTF">2024-02-06T13:17:44Z</dcterms:modified>
</cp:coreProperties>
</file>