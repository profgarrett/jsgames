
<file path=[Content_Types].xml><?xml version="1.0" encoding="utf-8"?>
<Types xmlns="http://schemas.openxmlformats.org/package/2006/content-types">
  <Default Extension="gif" ContentType="image/gif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4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dg00008\Dropbox\Courses\ACCT 321 Spring 2023\_shared\Excel files\"/>
    </mc:Choice>
  </mc:AlternateContent>
  <xr:revisionPtr revIDLastSave="0" documentId="13_ncr:1_{C73FE22B-C15A-4A48-94D9-C291F61A839D}" xr6:coauthVersionLast="47" xr6:coauthVersionMax="47" xr10:uidLastSave="{00000000-0000-0000-0000-000000000000}"/>
  <bookViews>
    <workbookView xWindow="-16320" yWindow="-6750" windowWidth="16440" windowHeight="28320" tabRatio="703" xr2:uid="{00000000-000D-0000-FFFF-FFFF00000000}"/>
  </bookViews>
  <sheets>
    <sheet name="Title" sheetId="11" r:id="rId1"/>
    <sheet name="Six Chart Types" sheetId="9" r:id="rId2"/>
    <sheet name="Lines and Area" sheetId="12" r:id="rId3"/>
    <sheet name="Chart Styling" sheetId="10" r:id="rId4"/>
    <sheet name="Chart Mistakes" sheetId="7" r:id="rId5"/>
    <sheet name="10K Bad Charts" sheetId="13" r:id="rId6"/>
  </sheets>
  <definedNames>
    <definedName name="circle_radius">#REF!</definedName>
    <definedName name="Hightech_Movement">#REF!</definedName>
    <definedName name="Hightech_Offset">#REF!</definedName>
    <definedName name="Lowtech_Movement">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5" i="7" l="1"/>
  <c r="D5" i="7"/>
  <c r="E5" i="7"/>
  <c r="F5" i="7"/>
  <c r="G5" i="7"/>
  <c r="G7" i="7" s="1"/>
  <c r="H5" i="7"/>
  <c r="H7" i="7" s="1"/>
  <c r="I5" i="7"/>
  <c r="I7" i="7" s="1"/>
  <c r="B5" i="7"/>
  <c r="B7" i="7" s="1"/>
  <c r="C7" i="7"/>
  <c r="D7" i="7"/>
  <c r="E7" i="7"/>
  <c r="F7" i="7"/>
  <c r="I105" i="10"/>
  <c r="H105" i="10"/>
  <c r="G105" i="10"/>
  <c r="F105" i="10"/>
  <c r="E105" i="10"/>
  <c r="D105" i="10"/>
  <c r="C105" i="10"/>
  <c r="B105" i="10"/>
  <c r="I82" i="10"/>
  <c r="H82" i="10"/>
  <c r="G82" i="10"/>
  <c r="F82" i="10"/>
  <c r="E82" i="10"/>
  <c r="D82" i="10"/>
  <c r="C82" i="10"/>
  <c r="B82" i="10"/>
  <c r="E10" i="12"/>
  <c r="D10" i="12"/>
  <c r="C10" i="12"/>
  <c r="B10" i="12"/>
  <c r="F9" i="12"/>
  <c r="F8" i="12"/>
  <c r="F7" i="12"/>
  <c r="C53" i="9"/>
  <c r="D53" i="9"/>
  <c r="B53" i="9"/>
  <c r="E49" i="9"/>
  <c r="E50" i="9"/>
  <c r="E51" i="9"/>
  <c r="E52" i="9"/>
  <c r="E48" i="9"/>
  <c r="F9" i="9"/>
  <c r="F7" i="9"/>
  <c r="B10" i="9" l="1"/>
  <c r="F8" i="9"/>
  <c r="C10" i="9"/>
  <c r="I85" i="7" l="1"/>
  <c r="H85" i="7"/>
  <c r="G85" i="7"/>
  <c r="F85" i="7"/>
  <c r="E85" i="7"/>
  <c r="D85" i="7"/>
  <c r="C85" i="7"/>
  <c r="B85" i="7"/>
  <c r="B67" i="7"/>
  <c r="I46" i="7"/>
  <c r="H46" i="7"/>
  <c r="G46" i="7"/>
  <c r="F46" i="7"/>
  <c r="E46" i="7"/>
  <c r="D46" i="7"/>
  <c r="C46" i="7"/>
  <c r="B46" i="7"/>
  <c r="I24" i="7"/>
  <c r="H24" i="7"/>
  <c r="G24" i="7"/>
  <c r="F24" i="7"/>
  <c r="E24" i="7"/>
  <c r="D24" i="7"/>
  <c r="C24" i="7"/>
  <c r="B24" i="7"/>
  <c r="I3" i="7"/>
  <c r="H3" i="7"/>
  <c r="G3" i="7"/>
  <c r="F3" i="7"/>
  <c r="E3" i="7"/>
  <c r="D3" i="7"/>
  <c r="C3" i="7"/>
  <c r="B3" i="7"/>
  <c r="D10" i="9" l="1"/>
  <c r="E10" i="9" l="1"/>
</calcChain>
</file>

<file path=xl/sharedStrings.xml><?xml version="1.0" encoding="utf-8"?>
<sst xmlns="http://schemas.openxmlformats.org/spreadsheetml/2006/main" count="96" uniqueCount="58">
  <si>
    <t>Market Average</t>
  </si>
  <si>
    <t>Bar Charts</t>
  </si>
  <si>
    <t>Product A</t>
  </si>
  <si>
    <t>Product B</t>
  </si>
  <si>
    <t>Product C</t>
  </si>
  <si>
    <t>Profit by Round</t>
  </si>
  <si>
    <t>Round 1</t>
  </si>
  <si>
    <t>Round 2</t>
  </si>
  <si>
    <t>Round 3</t>
  </si>
  <si>
    <t>Round 4</t>
  </si>
  <si>
    <t>A</t>
  </si>
  <si>
    <t>B</t>
  </si>
  <si>
    <t>C</t>
  </si>
  <si>
    <t>D</t>
  </si>
  <si>
    <t>E</t>
  </si>
  <si>
    <t>F</t>
  </si>
  <si>
    <t>Chart Styling</t>
  </si>
  <si>
    <t>Apple</t>
  </si>
  <si>
    <t>Blight</t>
  </si>
  <si>
    <t>Cats</t>
  </si>
  <si>
    <t>Sum</t>
  </si>
  <si>
    <t>Bruce</t>
  </si>
  <si>
    <t>Cherry</t>
  </si>
  <si>
    <t>Profit</t>
  </si>
  <si>
    <t>Chart Workbook</t>
  </si>
  <si>
    <t>Andre</t>
  </si>
  <si>
    <t>Total</t>
  </si>
  <si>
    <t>The six types of charts…</t>
  </si>
  <si>
    <t>Lines and Area Charts</t>
  </si>
  <si>
    <t>Team A Sales</t>
  </si>
  <si>
    <t>Team B Sales</t>
  </si>
  <si>
    <t>Team C Sales</t>
  </si>
  <si>
    <t>Contribution Margin</t>
  </si>
  <si>
    <t>Avg. Unit Revenue</t>
  </si>
  <si>
    <t>Sale Unit Count</t>
  </si>
  <si>
    <t>Sample Bad Charts</t>
  </si>
  <si>
    <t>Users</t>
  </si>
  <si>
    <t>Percentage</t>
  </si>
  <si>
    <t>Nuclear</t>
  </si>
  <si>
    <t>Purchased Power</t>
  </si>
  <si>
    <t>Gas, Oil, Other</t>
  </si>
  <si>
    <t>Coal</t>
  </si>
  <si>
    <t>Lowes</t>
  </si>
  <si>
    <t>S&amp;P 500</t>
  </si>
  <si>
    <t>S&amp;P Retail</t>
  </si>
  <si>
    <t>Data (estimated)</t>
  </si>
  <si>
    <t>Gross Margin</t>
  </si>
  <si>
    <t>Margin</t>
  </si>
  <si>
    <t>Segment Profit</t>
  </si>
  <si>
    <t>FY 16</t>
  </si>
  <si>
    <t>FY 17</t>
  </si>
  <si>
    <t>FY 18</t>
  </si>
  <si>
    <t>Year</t>
  </si>
  <si>
    <t>Income</t>
  </si>
  <si>
    <t>Revenue</t>
  </si>
  <si>
    <t>Operating Income</t>
  </si>
  <si>
    <t xml:space="preserve"> </t>
  </si>
  <si>
    <t>Updated 2/6/24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</si>
</sst>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_(&quot;$&quot;* #,##0_);_(&quot;$&quot;* \(#,##0\);_(&quot;$&quot;* &quot;-&quot;??_);_(@_)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9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3">
    <xf numFmtId="0" fontId="0" fillId="0" borderId="0" xfId="0"/>
    <xf numFmtId="164" fontId="0" fillId="0" borderId="0" xfId="3" applyNumberFormat="1" applyFont="1"/>
    <xf numFmtId="164" fontId="0" fillId="0" borderId="0" xfId="0" applyNumberFormat="1"/>
    <xf numFmtId="9" fontId="0" fillId="0" borderId="0" xfId="80" applyFont="1"/>
    <xf numFmtId="165" fontId="0" fillId="0" borderId="0" xfId="3" applyNumberFormat="1" applyFont="1"/>
    <xf numFmtId="0" fontId="6" fillId="0" borderId="0" xfId="0" applyFont="1"/>
    <xf numFmtId="166" fontId="0" fillId="0" borderId="0" xfId="109" applyNumberFormat="1" applyFont="1"/>
    <xf numFmtId="44" fontId="0" fillId="0" borderId="0" xfId="109" applyFont="1"/>
    <xf numFmtId="0" fontId="0" fillId="0" borderId="1" xfId="0" applyBorder="1"/>
    <xf numFmtId="166" fontId="0" fillId="0" borderId="1" xfId="0" applyNumberFormat="1" applyBorder="1"/>
    <xf numFmtId="0" fontId="0" fillId="0" borderId="0" xfId="0" applyAlignment="1">
      <alignment wrapText="1"/>
    </xf>
    <xf numFmtId="166" fontId="0" fillId="0" borderId="0" xfId="0" applyNumberFormat="1"/>
    <xf numFmtId="44" fontId="0" fillId="0" borderId="1" xfId="109" applyFont="1" applyBorder="1"/>
    <xf numFmtId="44" fontId="0" fillId="0" borderId="2" xfId="109" applyFont="1" applyBorder="1"/>
    <xf numFmtId="0" fontId="0" fillId="0" borderId="3" xfId="0" applyBorder="1"/>
    <xf numFmtId="44" fontId="0" fillId="0" borderId="4" xfId="109" applyFont="1" applyBorder="1"/>
    <xf numFmtId="16" fontId="0" fillId="0" borderId="0" xfId="0" applyNumberFormat="1"/>
    <xf numFmtId="15" fontId="0" fillId="0" borderId="0" xfId="0" applyNumberFormat="1"/>
    <xf numFmtId="14" fontId="0" fillId="0" borderId="0" xfId="0" applyNumberFormat="1"/>
    <xf numFmtId="9" fontId="0" fillId="0" borderId="0" xfId="0" applyNumberFormat="1"/>
    <xf numFmtId="10" fontId="0" fillId="0" borderId="0" xfId="0" applyNumberFormat="1"/>
    <xf numFmtId="0" fontId="7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top"/>
    </xf>
  </cellXfs>
  <cellStyles count="110">
    <cellStyle name="Comma" xfId="3" builtinId="3"/>
    <cellStyle name="Currency" xfId="109" builtinId="4"/>
    <cellStyle name="Followed Hyperlink" xfId="2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Hyperlink" xfId="1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Normal" xfId="0" builtinId="0"/>
    <cellStyle name="Percent" xfId="80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-</a:t>
            </a:r>
            <a:r>
              <a:rPr lang="en-US" baseline="0"/>
              <a:t> Version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'Six Chart Types'!$B$6</c:f>
              <c:strCache>
                <c:ptCount val="1"/>
                <c:pt idx="0">
                  <c:v>Round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'Six Chart Types'!$A$7:$A$9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'Six Chart Types'!$B$7:$B$9</c:f>
              <c:numCache>
                <c:formatCode>_("$"* #,##0_);_("$"* \(#,##0\);_("$"* "-"??_);_(@_)</c:formatCode>
                <c:ptCount val="3"/>
                <c:pt idx="0">
                  <c:v>50</c:v>
                </c:pt>
                <c:pt idx="1">
                  <c:v>200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DD-4ADA-98FF-D0BD0F5EF5C0}"/>
            </c:ext>
          </c:extLst>
        </c:ser>
        <c:ser>
          <c:idx val="1"/>
          <c:order val="1"/>
          <c:tx>
            <c:strRef>
              <c:f>'Six Chart Types'!$C$6</c:f>
              <c:strCache>
                <c:ptCount val="1"/>
                <c:pt idx="0">
                  <c:v>Round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'Six Chart Types'!$A$7:$A$9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'Six Chart Types'!$C$7:$C$9</c:f>
              <c:numCache>
                <c:formatCode>_("$"* #,##0_);_("$"* \(#,##0\);_("$"* "-"??_);_(@_)</c:formatCode>
                <c:ptCount val="3"/>
                <c:pt idx="0">
                  <c:v>90</c:v>
                </c:pt>
                <c:pt idx="1">
                  <c:v>190</c:v>
                </c:pt>
                <c:pt idx="2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DD-4ADA-98FF-D0BD0F5EF5C0}"/>
            </c:ext>
          </c:extLst>
        </c:ser>
        <c:ser>
          <c:idx val="2"/>
          <c:order val="2"/>
          <c:tx>
            <c:strRef>
              <c:f>'Six Chart Types'!$D$6</c:f>
              <c:strCache>
                <c:ptCount val="1"/>
                <c:pt idx="0">
                  <c:v>Round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'Six Chart Types'!$A$7:$A$9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'Six Chart Types'!$D$7:$D$9</c:f>
              <c:numCache>
                <c:formatCode>_("$"* #,##0_);_("$"* \(#,##0\);_("$"* "-"??_);_(@_)</c:formatCode>
                <c:ptCount val="3"/>
                <c:pt idx="0">
                  <c:v>125</c:v>
                </c:pt>
                <c:pt idx="1">
                  <c:v>90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DD-4ADA-98FF-D0BD0F5EF5C0}"/>
            </c:ext>
          </c:extLst>
        </c:ser>
        <c:ser>
          <c:idx val="3"/>
          <c:order val="3"/>
          <c:tx>
            <c:strRef>
              <c:f>'Six Chart Types'!$E$6</c:f>
              <c:strCache>
                <c:ptCount val="1"/>
                <c:pt idx="0">
                  <c:v>Round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'Six Chart Types'!$A$7:$A$9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'Six Chart Types'!$E$7:$E$9</c:f>
              <c:numCache>
                <c:formatCode>_("$"* #,##0_);_("$"* \(#,##0\);_("$"* "-"??_);_(@_)</c:formatCode>
                <c:ptCount val="3"/>
                <c:pt idx="0">
                  <c:v>190</c:v>
                </c:pt>
                <c:pt idx="1">
                  <c:v>55</c:v>
                </c:pt>
                <c:pt idx="2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DD-4ADA-98FF-D0BD0F5EF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064353824"/>
        <c:axId val="-2046414640"/>
      </c:barChart>
      <c:catAx>
        <c:axId val="-2064353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6414640"/>
        <c:crosses val="autoZero"/>
        <c:auto val="1"/>
        <c:lblAlgn val="ctr"/>
        <c:lblOffset val="100"/>
        <c:noMultiLvlLbl val="0"/>
      </c:catAx>
      <c:valAx>
        <c:axId val="-204641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6435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- Version</a:t>
            </a:r>
            <a:r>
              <a:rPr lang="en-US" baseline="0"/>
              <a:t> B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'Six Chart Types'!$B$6</c:f>
              <c:strCache>
                <c:ptCount val="1"/>
                <c:pt idx="0">
                  <c:v>Round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'Six Chart Types'!$A$7:$A$9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'Six Chart Types'!$B$7:$B$9</c:f>
              <c:numCache>
                <c:formatCode>_("$"* #,##0_);_("$"* \(#,##0\);_("$"* "-"??_);_(@_)</c:formatCode>
                <c:ptCount val="3"/>
                <c:pt idx="0">
                  <c:v>50</c:v>
                </c:pt>
                <c:pt idx="1">
                  <c:v>200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A9-42BC-9EA0-E9C2480A84AF}"/>
            </c:ext>
          </c:extLst>
        </c:ser>
        <c:ser>
          <c:idx val="1"/>
          <c:order val="1"/>
          <c:tx>
            <c:strRef>
              <c:f>'Six Chart Types'!$C$6</c:f>
              <c:strCache>
                <c:ptCount val="1"/>
                <c:pt idx="0">
                  <c:v>Round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'Six Chart Types'!$A$7:$A$9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'Six Chart Types'!$C$7:$C$9</c:f>
              <c:numCache>
                <c:formatCode>_("$"* #,##0_);_("$"* \(#,##0\);_("$"* "-"??_);_(@_)</c:formatCode>
                <c:ptCount val="3"/>
                <c:pt idx="0">
                  <c:v>90</c:v>
                </c:pt>
                <c:pt idx="1">
                  <c:v>190</c:v>
                </c:pt>
                <c:pt idx="2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A9-42BC-9EA0-E9C2480A84AF}"/>
            </c:ext>
          </c:extLst>
        </c:ser>
        <c:ser>
          <c:idx val="2"/>
          <c:order val="2"/>
          <c:tx>
            <c:strRef>
              <c:f>'Six Chart Types'!$D$6</c:f>
              <c:strCache>
                <c:ptCount val="1"/>
                <c:pt idx="0">
                  <c:v>Round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'Six Chart Types'!$A$7:$A$9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'Six Chart Types'!$D$7:$D$9</c:f>
              <c:numCache>
                <c:formatCode>_("$"* #,##0_);_("$"* \(#,##0\);_("$"* "-"??_);_(@_)</c:formatCode>
                <c:ptCount val="3"/>
                <c:pt idx="0">
                  <c:v>125</c:v>
                </c:pt>
                <c:pt idx="1">
                  <c:v>90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A9-42BC-9EA0-E9C2480A84AF}"/>
            </c:ext>
          </c:extLst>
        </c:ser>
        <c:ser>
          <c:idx val="3"/>
          <c:order val="3"/>
          <c:tx>
            <c:strRef>
              <c:f>'Six Chart Types'!$E$6</c:f>
              <c:strCache>
                <c:ptCount val="1"/>
                <c:pt idx="0">
                  <c:v>Round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'Six Chart Types'!$A$7:$A$9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'Six Chart Types'!$E$7:$E$9</c:f>
              <c:numCache>
                <c:formatCode>_("$"* #,##0_);_("$"* \(#,##0\);_("$"* "-"??_);_(@_)</c:formatCode>
                <c:ptCount val="3"/>
                <c:pt idx="0">
                  <c:v>190</c:v>
                </c:pt>
                <c:pt idx="1">
                  <c:v>55</c:v>
                </c:pt>
                <c:pt idx="2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A9-42BC-9EA0-E9C2480A8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2045966208"/>
        <c:axId val="-2045980864"/>
      </c:barChart>
      <c:catAx>
        <c:axId val="-2045966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5980864"/>
        <c:crosses val="autoZero"/>
        <c:auto val="1"/>
        <c:lblAlgn val="ctr"/>
        <c:lblOffset val="100"/>
        <c:noMultiLvlLbl val="0"/>
      </c:catAx>
      <c:valAx>
        <c:axId val="-204598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596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- Version C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'Six Chart Types'!$B$6</c:f>
              <c:strCache>
                <c:ptCount val="1"/>
                <c:pt idx="0">
                  <c:v>Round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'Six Chart Types'!$A$7:$A$9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'Six Chart Types'!$B$7:$B$9</c:f>
              <c:numCache>
                <c:formatCode>_("$"* #,##0_);_("$"* \(#,##0\);_("$"* "-"??_);_(@_)</c:formatCode>
                <c:ptCount val="3"/>
                <c:pt idx="0">
                  <c:v>50</c:v>
                </c:pt>
                <c:pt idx="1">
                  <c:v>200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62-4822-BF3D-068C1503C1E9}"/>
            </c:ext>
          </c:extLst>
        </c:ser>
        <c:ser>
          <c:idx val="1"/>
          <c:order val="1"/>
          <c:tx>
            <c:strRef>
              <c:f>'Six Chart Types'!$C$6</c:f>
              <c:strCache>
                <c:ptCount val="1"/>
                <c:pt idx="0">
                  <c:v>Round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'Six Chart Types'!$A$7:$A$9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'Six Chart Types'!$C$7:$C$9</c:f>
              <c:numCache>
                <c:formatCode>_("$"* #,##0_);_("$"* \(#,##0\);_("$"* "-"??_);_(@_)</c:formatCode>
                <c:ptCount val="3"/>
                <c:pt idx="0">
                  <c:v>90</c:v>
                </c:pt>
                <c:pt idx="1">
                  <c:v>190</c:v>
                </c:pt>
                <c:pt idx="2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62-4822-BF3D-068C1503C1E9}"/>
            </c:ext>
          </c:extLst>
        </c:ser>
        <c:ser>
          <c:idx val="2"/>
          <c:order val="2"/>
          <c:tx>
            <c:strRef>
              <c:f>'Six Chart Types'!$D$6</c:f>
              <c:strCache>
                <c:ptCount val="1"/>
                <c:pt idx="0">
                  <c:v>Round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'Six Chart Types'!$A$7:$A$9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'Six Chart Types'!$D$7:$D$9</c:f>
              <c:numCache>
                <c:formatCode>_("$"* #,##0_);_("$"* \(#,##0\);_("$"* "-"??_);_(@_)</c:formatCode>
                <c:ptCount val="3"/>
                <c:pt idx="0">
                  <c:v>125</c:v>
                </c:pt>
                <c:pt idx="1">
                  <c:v>90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62-4822-BF3D-068C1503C1E9}"/>
            </c:ext>
          </c:extLst>
        </c:ser>
        <c:ser>
          <c:idx val="3"/>
          <c:order val="3"/>
          <c:tx>
            <c:strRef>
              <c:f>'Six Chart Types'!$E$6</c:f>
              <c:strCache>
                <c:ptCount val="1"/>
                <c:pt idx="0">
                  <c:v>Round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'Six Chart Types'!$A$7:$A$9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'Six Chart Types'!$E$7:$E$9</c:f>
              <c:numCache>
                <c:formatCode>_("$"* #,##0_);_("$"* \(#,##0\);_("$"* "-"??_);_(@_)</c:formatCode>
                <c:ptCount val="3"/>
                <c:pt idx="0">
                  <c:v>190</c:v>
                </c:pt>
                <c:pt idx="1">
                  <c:v>55</c:v>
                </c:pt>
                <c:pt idx="2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62-4822-BF3D-068C1503C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2046339104"/>
        <c:axId val="-2046341520"/>
      </c:barChart>
      <c:catAx>
        <c:axId val="-204633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6341520"/>
        <c:crosses val="autoZero"/>
        <c:auto val="1"/>
        <c:lblAlgn val="ctr"/>
        <c:lblOffset val="100"/>
        <c:noMultiLvlLbl val="0"/>
      </c:catAx>
      <c:valAx>
        <c:axId val="-204634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633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- Version 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'Six Chart Types'!$A$7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'Six Chart Types'!$B$6:$E$6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'Six Chart Types'!$B$7:$E$7</c:f>
              <c:numCache>
                <c:formatCode>_("$"* #,##0_);_("$"* \(#,##0\);_("$"* "-"??_);_(@_)</c:formatCode>
                <c:ptCount val="4"/>
                <c:pt idx="0">
                  <c:v>50</c:v>
                </c:pt>
                <c:pt idx="1">
                  <c:v>90</c:v>
                </c:pt>
                <c:pt idx="2">
                  <c:v>125</c:v>
                </c:pt>
                <c:pt idx="3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95-4762-96A4-0083E0B4A8D5}"/>
            </c:ext>
          </c:extLst>
        </c:ser>
        <c:ser>
          <c:idx val="1"/>
          <c:order val="1"/>
          <c:tx>
            <c:strRef>
              <c:f>'Six Chart Types'!$A$8</c:f>
              <c:strCache>
                <c:ptCount val="1"/>
                <c:pt idx="0">
                  <c:v>Blight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'Six Chart Types'!$B$6:$E$6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'Six Chart Types'!$B$8:$E$8</c:f>
              <c:numCache>
                <c:formatCode>_("$"* #,##0_);_("$"* \(#,##0\);_("$"* "-"??_);_(@_)</c:formatCode>
                <c:ptCount val="4"/>
                <c:pt idx="0">
                  <c:v>200</c:v>
                </c:pt>
                <c:pt idx="1">
                  <c:v>190</c:v>
                </c:pt>
                <c:pt idx="2">
                  <c:v>90</c:v>
                </c:pt>
                <c:pt idx="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95-4762-96A4-0083E0B4A8D5}"/>
            </c:ext>
          </c:extLst>
        </c:ser>
        <c:ser>
          <c:idx val="2"/>
          <c:order val="2"/>
          <c:tx>
            <c:strRef>
              <c:f>'Six Chart Types'!$A$9</c:f>
              <c:strCache>
                <c:ptCount val="1"/>
                <c:pt idx="0">
                  <c:v>Cats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'Six Chart Types'!$B$6:$E$6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'Six Chart Types'!$B$9:$E$9</c:f>
              <c:numCache>
                <c:formatCode>_("$"* #,##0_);_("$"* \(#,##0\);_("$"* "-"??_);_(@_)</c:formatCode>
                <c:ptCount val="4"/>
                <c:pt idx="0">
                  <c:v>50</c:v>
                </c:pt>
                <c:pt idx="1">
                  <c:v>240</c:v>
                </c:pt>
                <c:pt idx="2">
                  <c:v>80</c:v>
                </c:pt>
                <c:pt idx="3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95-4762-96A4-0083E0B4A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064014192"/>
        <c:axId val="-2064451088"/>
      </c:barChart>
      <c:catAx>
        <c:axId val="-206401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64451088"/>
        <c:crosses val="autoZero"/>
        <c:auto val="1"/>
        <c:lblAlgn val="ctr"/>
        <c:lblOffset val="100"/>
        <c:noMultiLvlLbl val="0"/>
      </c:catAx>
      <c:valAx>
        <c:axId val="-206445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6401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- Version 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'Six Chart Types'!$A$7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'Six Chart Types'!$B$6:$E$6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'Six Chart Types'!$B$7:$E$7</c:f>
              <c:numCache>
                <c:formatCode>_("$"* #,##0_);_("$"* \(#,##0\);_("$"* "-"??_);_(@_)</c:formatCode>
                <c:ptCount val="4"/>
                <c:pt idx="0">
                  <c:v>50</c:v>
                </c:pt>
                <c:pt idx="1">
                  <c:v>90</c:v>
                </c:pt>
                <c:pt idx="2">
                  <c:v>125</c:v>
                </c:pt>
                <c:pt idx="3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99-47BE-A23F-67C6FEBF1F26}"/>
            </c:ext>
          </c:extLst>
        </c:ser>
        <c:ser>
          <c:idx val="1"/>
          <c:order val="1"/>
          <c:tx>
            <c:strRef>
              <c:f>'Six Chart Types'!$A$8</c:f>
              <c:strCache>
                <c:ptCount val="1"/>
                <c:pt idx="0">
                  <c:v>Blight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'Six Chart Types'!$B$6:$E$6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'Six Chart Types'!$B$8:$E$8</c:f>
              <c:numCache>
                <c:formatCode>_("$"* #,##0_);_("$"* \(#,##0\);_("$"* "-"??_);_(@_)</c:formatCode>
                <c:ptCount val="4"/>
                <c:pt idx="0">
                  <c:v>200</c:v>
                </c:pt>
                <c:pt idx="1">
                  <c:v>190</c:v>
                </c:pt>
                <c:pt idx="2">
                  <c:v>90</c:v>
                </c:pt>
                <c:pt idx="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99-47BE-A23F-67C6FEBF1F26}"/>
            </c:ext>
          </c:extLst>
        </c:ser>
        <c:ser>
          <c:idx val="2"/>
          <c:order val="2"/>
          <c:tx>
            <c:strRef>
              <c:f>'Six Chart Types'!$A$9</c:f>
              <c:strCache>
                <c:ptCount val="1"/>
                <c:pt idx="0">
                  <c:v>Cats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'Six Chart Types'!$B$6:$E$6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'Six Chart Types'!$B$9:$E$9</c:f>
              <c:numCache>
                <c:formatCode>_("$"* #,##0_);_("$"* \(#,##0\);_("$"* "-"??_);_(@_)</c:formatCode>
                <c:ptCount val="4"/>
                <c:pt idx="0">
                  <c:v>50</c:v>
                </c:pt>
                <c:pt idx="1">
                  <c:v>240</c:v>
                </c:pt>
                <c:pt idx="2">
                  <c:v>80</c:v>
                </c:pt>
                <c:pt idx="3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99-47BE-A23F-67C6FEBF1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2064770752"/>
        <c:axId val="-2064767440"/>
      </c:barChart>
      <c:catAx>
        <c:axId val="-206477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64767440"/>
        <c:crosses val="autoZero"/>
        <c:auto val="1"/>
        <c:lblAlgn val="ctr"/>
        <c:lblOffset val="100"/>
        <c:noMultiLvlLbl val="0"/>
      </c:catAx>
      <c:valAx>
        <c:axId val="-206476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6477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- Version 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'Six Chart Types'!$A$7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'Six Chart Types'!$B$6:$E$6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'Six Chart Types'!$B$7:$E$7</c:f>
              <c:numCache>
                <c:formatCode>_("$"* #,##0_);_("$"* \(#,##0\);_("$"* "-"??_);_(@_)</c:formatCode>
                <c:ptCount val="4"/>
                <c:pt idx="0">
                  <c:v>50</c:v>
                </c:pt>
                <c:pt idx="1">
                  <c:v>90</c:v>
                </c:pt>
                <c:pt idx="2">
                  <c:v>125</c:v>
                </c:pt>
                <c:pt idx="3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E-440D-8940-039F7431E8BB}"/>
            </c:ext>
          </c:extLst>
        </c:ser>
        <c:ser>
          <c:idx val="1"/>
          <c:order val="1"/>
          <c:tx>
            <c:strRef>
              <c:f>'Six Chart Types'!$A$8</c:f>
              <c:strCache>
                <c:ptCount val="1"/>
                <c:pt idx="0">
                  <c:v>Blight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'Six Chart Types'!$B$6:$E$6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'Six Chart Types'!$B$8:$E$8</c:f>
              <c:numCache>
                <c:formatCode>_("$"* #,##0_);_("$"* \(#,##0\);_("$"* "-"??_);_(@_)</c:formatCode>
                <c:ptCount val="4"/>
                <c:pt idx="0">
                  <c:v>200</c:v>
                </c:pt>
                <c:pt idx="1">
                  <c:v>190</c:v>
                </c:pt>
                <c:pt idx="2">
                  <c:v>90</c:v>
                </c:pt>
                <c:pt idx="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7E-440D-8940-039F7431E8BB}"/>
            </c:ext>
          </c:extLst>
        </c:ser>
        <c:ser>
          <c:idx val="2"/>
          <c:order val="2"/>
          <c:tx>
            <c:strRef>
              <c:f>'Six Chart Types'!$A$9</c:f>
              <c:strCache>
                <c:ptCount val="1"/>
                <c:pt idx="0">
                  <c:v>Cats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'Six Chart Types'!$B$6:$E$6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'Six Chart Types'!$B$9:$E$9</c:f>
              <c:numCache>
                <c:formatCode>_("$"* #,##0_);_("$"* \(#,##0\);_("$"* "-"??_);_(@_)</c:formatCode>
                <c:ptCount val="4"/>
                <c:pt idx="0">
                  <c:v>50</c:v>
                </c:pt>
                <c:pt idx="1">
                  <c:v>240</c:v>
                </c:pt>
                <c:pt idx="2">
                  <c:v>80</c:v>
                </c:pt>
                <c:pt idx="3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7E-440D-8940-039F7431E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2083785728"/>
        <c:axId val="-2081985136"/>
      </c:barChart>
      <c:catAx>
        <c:axId val="-2083785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1985136"/>
        <c:crosses val="autoZero"/>
        <c:auto val="1"/>
        <c:lblAlgn val="ctr"/>
        <c:lblOffset val="100"/>
        <c:noMultiLvlLbl val="0"/>
      </c:catAx>
      <c:valAx>
        <c:axId val="-208198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3785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'Lines and Area'!$A$7</c:f>
              <c:strCache>
                <c:ptCount val="1"/>
                <c:pt idx="0">
                  <c:v>Apple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'Lines and Area'!$B$6:$E$6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'Lines and Area'!$B$7:$E$7</c:f>
              <c:numCache>
                <c:formatCode>_("$"* #,##0_);_("$"* \(#,##0\);_("$"* "-"??_);_(@_)</c:formatCode>
                <c:ptCount val="4"/>
                <c:pt idx="0">
                  <c:v>50</c:v>
                </c:pt>
                <c:pt idx="1">
                  <c:v>90</c:v>
                </c:pt>
                <c:pt idx="2">
                  <c:v>125</c:v>
                </c:pt>
                <c:pt idx="3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E5-4547-ADA7-7E0E47ECB713}"/>
            </c:ext>
          </c:extLst>
        </c:ser>
        <c:ser>
          <c:idx val="1"/>
          <c:order val="1"/>
          <c:tx>
            <c:strRef>
              <c:f>'Lines and Area'!$A$8</c:f>
              <c:strCache>
                <c:ptCount val="1"/>
                <c:pt idx="0">
                  <c:v>Blight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'Lines and Area'!$B$6:$E$6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'Lines and Area'!$B$8:$E$8</c:f>
              <c:numCache>
                <c:formatCode>_("$"* #,##0_);_("$"* \(#,##0\);_("$"* "-"??_);_(@_)</c:formatCode>
                <c:ptCount val="4"/>
                <c:pt idx="0">
                  <c:v>200</c:v>
                </c:pt>
                <c:pt idx="1">
                  <c:v>190</c:v>
                </c:pt>
                <c:pt idx="2">
                  <c:v>90</c:v>
                </c:pt>
                <c:pt idx="3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E5-4547-ADA7-7E0E47ECB713}"/>
            </c:ext>
          </c:extLst>
        </c:ser>
        <c:ser>
          <c:idx val="2"/>
          <c:order val="2"/>
          <c:tx>
            <c:strRef>
              <c:f>'Lines and Area'!$A$9</c:f>
              <c:strCache>
                <c:ptCount val="1"/>
                <c:pt idx="0">
                  <c:v>Cats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'Lines and Area'!$B$6:$E$6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'Lines and Area'!$B$9:$E$9</c:f>
              <c:numCache>
                <c:formatCode>_("$"* #,##0_);_("$"* \(#,##0\);_("$"* "-"??_);_(@_)</c:formatCode>
                <c:ptCount val="4"/>
                <c:pt idx="0">
                  <c:v>50</c:v>
                </c:pt>
                <c:pt idx="1">
                  <c:v>240</c:v>
                </c:pt>
                <c:pt idx="2">
                  <c:v>80</c:v>
                </c:pt>
                <c:pt idx="3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E5-4547-ADA7-7E0E47ECB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377584"/>
        <c:axId val="189379216"/>
      </c:lineChart>
      <c:catAx>
        <c:axId val="18937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9216"/>
        <c:crosses val="autoZero"/>
        <c:auto val="1"/>
        <c:lblAlgn val="ctr"/>
        <c:lblOffset val="100"/>
        <c:noMultiLvlLbl val="0"/>
      </c:catAx>
      <c:valAx>
        <c:axId val="18937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'Lines and Area'!$B$6</c:f>
              <c:strCache>
                <c:ptCount val="1"/>
                <c:pt idx="0">
                  <c:v>Round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'Lines and Area'!$A$7:$A$9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'Lines and Area'!$B$7:$B$9</c:f>
              <c:numCache>
                <c:formatCode>_("$"* #,##0_);_("$"* \(#,##0\);_("$"* "-"??_);_(@_)</c:formatCode>
                <c:ptCount val="3"/>
                <c:pt idx="0">
                  <c:v>50</c:v>
                </c:pt>
                <c:pt idx="1">
                  <c:v>200</c:v>
                </c:pt>
                <c:pt idx="2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66-F243-BBE6-F6DA71317E7F}"/>
            </c:ext>
          </c:extLst>
        </c:ser>
        <c:ser>
          <c:idx val="1"/>
          <c:order val="1"/>
          <c:tx>
            <c:strRef>
              <c:f>'Lines and Area'!$C$6</c:f>
              <c:strCache>
                <c:ptCount val="1"/>
                <c:pt idx="0">
                  <c:v>Round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'Lines and Area'!$A$7:$A$9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'Lines and Area'!$C$7:$C$9</c:f>
              <c:numCache>
                <c:formatCode>_("$"* #,##0_);_("$"* \(#,##0\);_("$"* "-"??_);_(@_)</c:formatCode>
                <c:ptCount val="3"/>
                <c:pt idx="0">
                  <c:v>90</c:v>
                </c:pt>
                <c:pt idx="1">
                  <c:v>190</c:v>
                </c:pt>
                <c:pt idx="2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66-F243-BBE6-F6DA71317E7F}"/>
            </c:ext>
          </c:extLst>
        </c:ser>
        <c:ser>
          <c:idx val="2"/>
          <c:order val="2"/>
          <c:tx>
            <c:strRef>
              <c:f>'Lines and Area'!$D$6</c:f>
              <c:strCache>
                <c:ptCount val="1"/>
                <c:pt idx="0">
                  <c:v>Round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'Lines and Area'!$A$7:$A$9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'Lines and Area'!$D$7:$D$9</c:f>
              <c:numCache>
                <c:formatCode>_("$"* #,##0_);_("$"* \(#,##0\);_("$"* "-"??_);_(@_)</c:formatCode>
                <c:ptCount val="3"/>
                <c:pt idx="0">
                  <c:v>125</c:v>
                </c:pt>
                <c:pt idx="1">
                  <c:v>90</c:v>
                </c:pt>
                <c:pt idx="2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66-F243-BBE6-F6DA71317E7F}"/>
            </c:ext>
          </c:extLst>
        </c:ser>
        <c:ser>
          <c:idx val="3"/>
          <c:order val="3"/>
          <c:tx>
            <c:strRef>
              <c:f>'Lines and Area'!$E$6</c:f>
              <c:strCache>
                <c:ptCount val="1"/>
                <c:pt idx="0">
                  <c:v>Round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'Lines and Area'!$A$7:$A$9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'Lines and Area'!$E$7:$E$9</c:f>
              <c:numCache>
                <c:formatCode>_("$"* #,##0_);_("$"* \(#,##0\);_("$"* "-"??_);_(@_)</c:formatCode>
                <c:ptCount val="3"/>
                <c:pt idx="0">
                  <c:v>190</c:v>
                </c:pt>
                <c:pt idx="1">
                  <c:v>55</c:v>
                </c:pt>
                <c:pt idx="2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66-F243-BBE6-F6DA71317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377584"/>
        <c:axId val="189379216"/>
      </c:lineChart>
      <c:catAx>
        <c:axId val="18937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9216"/>
        <c:crosses val="autoZero"/>
        <c:auto val="1"/>
        <c:lblAlgn val="ctr"/>
        <c:lblOffset val="100"/>
        <c:noMultiLvlLbl val="0"/>
      </c:catAx>
      <c:valAx>
        <c:axId val="18937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'Lines and Area'!$A$7</c:f>
              <c:strCache>
                <c:ptCount val="1"/>
                <c:pt idx="0">
                  <c:v>Apple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'Lines and Area'!$B$6:$E$6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'Lines and Area'!$B$7:$E$7</c:f>
              <c:numCache>
                <c:formatCode>_("$"* #,##0_);_("$"* \(#,##0\);_("$"* "-"??_);_(@_)</c:formatCode>
                <c:ptCount val="4"/>
                <c:pt idx="0">
                  <c:v>50</c:v>
                </c:pt>
                <c:pt idx="1">
                  <c:v>90</c:v>
                </c:pt>
                <c:pt idx="2">
                  <c:v>125</c:v>
                </c:pt>
                <c:pt idx="3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91-8D45-ABC1-E59A5004DB7A}"/>
            </c:ext>
          </c:extLst>
        </c:ser>
        <c:ser>
          <c:idx val="1"/>
          <c:order val="1"/>
          <c:tx>
            <c:strRef>
              <c:f>'Lines and Area'!$A$8</c:f>
              <c:strCache>
                <c:ptCount val="1"/>
                <c:pt idx="0">
                  <c:v>Blight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'Lines and Area'!$B$6:$E$6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'Lines and Area'!$B$8:$E$8</c:f>
              <c:numCache>
                <c:formatCode>_("$"* #,##0_);_("$"* \(#,##0\);_("$"* "-"??_);_(@_)</c:formatCode>
                <c:ptCount val="4"/>
                <c:pt idx="0">
                  <c:v>200</c:v>
                </c:pt>
                <c:pt idx="1">
                  <c:v>190</c:v>
                </c:pt>
                <c:pt idx="2">
                  <c:v>90</c:v>
                </c:pt>
                <c:pt idx="3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91-8D45-ABC1-E59A5004DB7A}"/>
            </c:ext>
          </c:extLst>
        </c:ser>
        <c:ser>
          <c:idx val="2"/>
          <c:order val="2"/>
          <c:tx>
            <c:strRef>
              <c:f>'Lines and Area'!$A$9</c:f>
              <c:strCache>
                <c:ptCount val="1"/>
                <c:pt idx="0">
                  <c:v>Cats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'Lines and Area'!$B$6:$E$6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'Lines and Area'!$B$9:$E$9</c:f>
              <c:numCache>
                <c:formatCode>_("$"* #,##0_);_("$"* \(#,##0\);_("$"* "-"??_);_(@_)</c:formatCode>
                <c:ptCount val="4"/>
                <c:pt idx="0">
                  <c:v>50</c:v>
                </c:pt>
                <c:pt idx="1">
                  <c:v>240</c:v>
                </c:pt>
                <c:pt idx="2">
                  <c:v>80</c:v>
                </c:pt>
                <c:pt idx="3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91-8D45-ABC1-E59A5004D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377584"/>
        <c:axId val="189379216"/>
      </c:lineChart>
      <c:catAx>
        <c:axId val="18937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9216"/>
        <c:crosses val="autoZero"/>
        <c:auto val="1"/>
        <c:lblAlgn val="ctr"/>
        <c:lblOffset val="100"/>
        <c:noMultiLvlLbl val="0"/>
      </c:catAx>
      <c:valAx>
        <c:axId val="18937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'Lines and Area'!$B$6</c:f>
              <c:strCache>
                <c:ptCount val="1"/>
                <c:pt idx="0">
                  <c:v>Round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'Lines and Area'!$A$7:$A$9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'Lines and Area'!$B$7:$B$9</c:f>
              <c:numCache>
                <c:formatCode>_("$"* #,##0_);_("$"* \(#,##0\);_("$"* "-"??_);_(@_)</c:formatCode>
                <c:ptCount val="3"/>
                <c:pt idx="0">
                  <c:v>50</c:v>
                </c:pt>
                <c:pt idx="1">
                  <c:v>200</c:v>
                </c:pt>
                <c:pt idx="2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4E-7D4A-99A8-AB4CB24FA20C}"/>
            </c:ext>
          </c:extLst>
        </c:ser>
        <c:ser>
          <c:idx val="1"/>
          <c:order val="1"/>
          <c:tx>
            <c:strRef>
              <c:f>'Lines and Area'!$C$6</c:f>
              <c:strCache>
                <c:ptCount val="1"/>
                <c:pt idx="0">
                  <c:v>Round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'Lines and Area'!$A$7:$A$9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'Lines and Area'!$C$7:$C$9</c:f>
              <c:numCache>
                <c:formatCode>_("$"* #,##0_);_("$"* \(#,##0\);_("$"* "-"??_);_(@_)</c:formatCode>
                <c:ptCount val="3"/>
                <c:pt idx="0">
                  <c:v>90</c:v>
                </c:pt>
                <c:pt idx="1">
                  <c:v>190</c:v>
                </c:pt>
                <c:pt idx="2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4E-7D4A-99A8-AB4CB24FA20C}"/>
            </c:ext>
          </c:extLst>
        </c:ser>
        <c:ser>
          <c:idx val="2"/>
          <c:order val="2"/>
          <c:tx>
            <c:strRef>
              <c:f>'Lines and Area'!$D$6</c:f>
              <c:strCache>
                <c:ptCount val="1"/>
                <c:pt idx="0">
                  <c:v>Round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'Lines and Area'!$A$7:$A$9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'Lines and Area'!$D$7:$D$9</c:f>
              <c:numCache>
                <c:formatCode>_("$"* #,##0_);_("$"* \(#,##0\);_("$"* "-"??_);_(@_)</c:formatCode>
                <c:ptCount val="3"/>
                <c:pt idx="0">
                  <c:v>125</c:v>
                </c:pt>
                <c:pt idx="1">
                  <c:v>90</c:v>
                </c:pt>
                <c:pt idx="2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4E-7D4A-99A8-AB4CB24FA20C}"/>
            </c:ext>
          </c:extLst>
        </c:ser>
        <c:ser>
          <c:idx val="3"/>
          <c:order val="3"/>
          <c:tx>
            <c:strRef>
              <c:f>'Lines and Area'!$E$6</c:f>
              <c:strCache>
                <c:ptCount val="1"/>
                <c:pt idx="0">
                  <c:v>Round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'Lines and Area'!$A$7:$A$9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'Lines and Area'!$E$7:$E$9</c:f>
              <c:numCache>
                <c:formatCode>_("$"* #,##0_);_("$"* \(#,##0\);_("$"* "-"??_);_(@_)</c:formatCode>
                <c:ptCount val="3"/>
                <c:pt idx="0">
                  <c:v>190</c:v>
                </c:pt>
                <c:pt idx="1">
                  <c:v>55</c:v>
                </c:pt>
                <c:pt idx="2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54E-7D4A-99A8-AB4CB24FA2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377584"/>
        <c:axId val="189379216"/>
      </c:lineChart>
      <c:catAx>
        <c:axId val="18937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9216"/>
        <c:crosses val="autoZero"/>
        <c:auto val="1"/>
        <c:lblAlgn val="ctr"/>
        <c:lblOffset val="100"/>
        <c:noMultiLvlLbl val="0"/>
      </c:catAx>
      <c:valAx>
        <c:axId val="18937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'Lines and Area'!$A$7</c:f>
              <c:strCache>
                <c:ptCount val="1"/>
                <c:pt idx="0">
                  <c:v>Apple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'Lines and Area'!$B$6:$E$6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'Lines and Area'!$B$7:$E$7</c:f>
              <c:numCache>
                <c:formatCode>_("$"* #,##0_);_("$"* \(#,##0\);_("$"* "-"??_);_(@_)</c:formatCode>
                <c:ptCount val="4"/>
                <c:pt idx="0">
                  <c:v>50</c:v>
                </c:pt>
                <c:pt idx="1">
                  <c:v>90</c:v>
                </c:pt>
                <c:pt idx="2">
                  <c:v>125</c:v>
                </c:pt>
                <c:pt idx="3">
                  <c:v>190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57-6646-9612-55066869EDD7}"/>
            </c:ext>
          </c:extLst>
        </c:ser>
        <c:ser>
          <c:idx val="1"/>
          <c:order val="1"/>
          <c:tx>
            <c:strRef>
              <c:f>'Lines and Area'!$A$8</c:f>
              <c:strCache>
                <c:ptCount val="1"/>
                <c:pt idx="0">
                  <c:v>Blight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'Lines and Area'!$B$6:$E$6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'Lines and Area'!$B$8:$E$8</c:f>
              <c:numCache>
                <c:formatCode>_("$"* #,##0_);_("$"* \(#,##0\);_("$"* "-"??_);_(@_)</c:formatCode>
                <c:ptCount val="4"/>
                <c:pt idx="0">
                  <c:v>200</c:v>
                </c:pt>
                <c:pt idx="1">
                  <c:v>190</c:v>
                </c:pt>
                <c:pt idx="2">
                  <c:v>90</c:v>
                </c:pt>
                <c:pt idx="3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57-6646-9612-55066869EDD7}"/>
            </c:ext>
          </c:extLst>
        </c:ser>
        <c:ser>
          <c:idx val="2"/>
          <c:order val="2"/>
          <c:tx>
            <c:strRef>
              <c:f>'Lines and Area'!$A$9</c:f>
              <c:strCache>
                <c:ptCount val="1"/>
                <c:pt idx="0">
                  <c:v>Cats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'Lines and Area'!$B$6:$E$6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'Lines and Area'!$B$9:$E$9</c:f>
              <c:numCache>
                <c:formatCode>_("$"* #,##0_);_("$"* \(#,##0\);_("$"* "-"??_);_(@_)</c:formatCode>
                <c:ptCount val="4"/>
                <c:pt idx="0">
                  <c:v>50</c:v>
                </c:pt>
                <c:pt idx="1">
                  <c:v>240</c:v>
                </c:pt>
                <c:pt idx="2">
                  <c:v>80</c:v>
                </c:pt>
                <c:pt idx="3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57-6646-9612-55066869E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377584"/>
        <c:axId val="189379216"/>
      </c:lineChart>
      <c:catAx>
        <c:axId val="18937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9216"/>
        <c:crosses val="autoZero"/>
        <c:auto val="1"/>
        <c:lblAlgn val="ctr"/>
        <c:lblOffset val="100"/>
        <c:noMultiLvlLbl val="0"/>
      </c:catAx>
      <c:valAx>
        <c:axId val="18937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percentStacked"/>
        <c:varyColors val="0"/>
        <c:ser>
          <c:idx val="0"/>
          <c:order val="0"/>
          <c:tx>
            <c:strRef>
              <c:f>'Lines and Area'!$B$6</c:f>
              <c:strCache>
                <c:ptCount val="1"/>
                <c:pt idx="0">
                  <c:v>Round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'Lines and Area'!$A$7:$A$9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'Lines and Area'!$B$7:$B$9</c:f>
              <c:numCache>
                <c:formatCode>_("$"* #,##0_);_("$"* \(#,##0\);_("$"* "-"??_);_(@_)</c:formatCode>
                <c:ptCount val="3"/>
                <c:pt idx="0">
                  <c:v>50</c:v>
                </c:pt>
                <c:pt idx="1">
                  <c:v>200</c:v>
                </c:pt>
                <c:pt idx="2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EE-9A42-8E36-D269D761562D}"/>
            </c:ext>
          </c:extLst>
        </c:ser>
        <c:ser>
          <c:idx val="1"/>
          <c:order val="1"/>
          <c:tx>
            <c:strRef>
              <c:f>'Lines and Area'!$C$6</c:f>
              <c:strCache>
                <c:ptCount val="1"/>
                <c:pt idx="0">
                  <c:v>Round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'Lines and Area'!$A$7:$A$9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'Lines and Area'!$C$7:$C$9</c:f>
              <c:numCache>
                <c:formatCode>_("$"* #,##0_);_("$"* \(#,##0\);_("$"* "-"??_);_(@_)</c:formatCode>
                <c:ptCount val="3"/>
                <c:pt idx="0">
                  <c:v>90</c:v>
                </c:pt>
                <c:pt idx="1">
                  <c:v>190</c:v>
                </c:pt>
                <c:pt idx="2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EE-9A42-8E36-D269D761562D}"/>
            </c:ext>
          </c:extLst>
        </c:ser>
        <c:ser>
          <c:idx val="2"/>
          <c:order val="2"/>
          <c:tx>
            <c:strRef>
              <c:f>'Lines and Area'!$D$6</c:f>
              <c:strCache>
                <c:ptCount val="1"/>
                <c:pt idx="0">
                  <c:v>Round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'Lines and Area'!$A$7:$A$9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'Lines and Area'!$D$7:$D$9</c:f>
              <c:numCache>
                <c:formatCode>_("$"* #,##0_);_("$"* \(#,##0\);_("$"* "-"??_);_(@_)</c:formatCode>
                <c:ptCount val="3"/>
                <c:pt idx="0">
                  <c:v>125</c:v>
                </c:pt>
                <c:pt idx="1">
                  <c:v>90</c:v>
                </c:pt>
                <c:pt idx="2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EE-9A42-8E36-D269D761562D}"/>
            </c:ext>
          </c:extLst>
        </c:ser>
        <c:ser>
          <c:idx val="3"/>
          <c:order val="3"/>
          <c:tx>
            <c:strRef>
              <c:f>'Lines and Area'!$E$6</c:f>
              <c:strCache>
                <c:ptCount val="1"/>
                <c:pt idx="0">
                  <c:v>Round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'Lines and Area'!$A$7:$A$9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'Lines and Area'!$E$7:$E$9</c:f>
              <c:numCache>
                <c:formatCode>_("$"* #,##0_);_("$"* \(#,##0\);_("$"* "-"??_);_(@_)</c:formatCode>
                <c:ptCount val="3"/>
                <c:pt idx="0">
                  <c:v>190</c:v>
                </c:pt>
                <c:pt idx="1">
                  <c:v>55</c:v>
                </c:pt>
                <c:pt idx="2">
                  <c:v>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BEE-9A42-8E36-D269D7615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377584"/>
        <c:axId val="189379216"/>
      </c:lineChart>
      <c:catAx>
        <c:axId val="18937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9216"/>
        <c:crosses val="autoZero"/>
        <c:auto val="1"/>
        <c:lblAlgn val="ctr"/>
        <c:lblOffset val="100"/>
        <c:noMultiLvlLbl val="0"/>
      </c:catAx>
      <c:valAx>
        <c:axId val="18937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'Lines and Area'!$A$7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'Lines and Area'!$B$6:$E$6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'Lines and Area'!$B$7:$E$7</c:f>
              <c:numCache>
                <c:formatCode>_("$"* #,##0_);_("$"* \(#,##0\);_("$"* "-"??_);_(@_)</c:formatCode>
                <c:ptCount val="4"/>
                <c:pt idx="0">
                  <c:v>50</c:v>
                </c:pt>
                <c:pt idx="1">
                  <c:v>90</c:v>
                </c:pt>
                <c:pt idx="2">
                  <c:v>125</c:v>
                </c:pt>
                <c:pt idx="3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E2-9D47-BCCB-CE0C9B93CCB0}"/>
            </c:ext>
          </c:extLst>
        </c:ser>
        <c:ser>
          <c:idx val="1"/>
          <c:order val="1"/>
          <c:tx>
            <c:strRef>
              <c:f>'Lines and Area'!$A$8</c:f>
              <c:strCache>
                <c:ptCount val="1"/>
                <c:pt idx="0">
                  <c:v>Blight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'Lines and Area'!$B$6:$E$6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'Lines and Area'!$B$8:$E$8</c:f>
              <c:numCache>
                <c:formatCode>_("$"* #,##0_);_("$"* \(#,##0\);_("$"* "-"??_);_(@_)</c:formatCode>
                <c:ptCount val="4"/>
                <c:pt idx="0">
                  <c:v>200</c:v>
                </c:pt>
                <c:pt idx="1">
                  <c:v>190</c:v>
                </c:pt>
                <c:pt idx="2">
                  <c:v>90</c:v>
                </c:pt>
                <c:pt idx="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E2-9D47-BCCB-CE0C9B93CCB0}"/>
            </c:ext>
          </c:extLst>
        </c:ser>
        <c:ser>
          <c:idx val="2"/>
          <c:order val="2"/>
          <c:tx>
            <c:strRef>
              <c:f>'Lines and Area'!$A$9</c:f>
              <c:strCache>
                <c:ptCount val="1"/>
                <c:pt idx="0">
                  <c:v>Cats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'Lines and Area'!$B$6:$E$6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'Lines and Area'!$B$9:$E$9</c:f>
              <c:numCache>
                <c:formatCode>_("$"* #,##0_);_("$"* \(#,##0\);_("$"* "-"??_);_(@_)</c:formatCode>
                <c:ptCount val="4"/>
                <c:pt idx="0">
                  <c:v>50</c:v>
                </c:pt>
                <c:pt idx="1">
                  <c:v>240</c:v>
                </c:pt>
                <c:pt idx="2">
                  <c:v>80</c:v>
                </c:pt>
                <c:pt idx="3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E2-9D47-BCCB-CE0C9B93C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77584"/>
        <c:axId val="189379216"/>
      </c:areaChart>
      <c:catAx>
        <c:axId val="18937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9216"/>
        <c:crosses val="autoZero"/>
        <c:auto val="1"/>
        <c:lblAlgn val="ctr"/>
        <c:lblOffset val="100"/>
        <c:noMultiLvlLbl val="0"/>
      </c:catAx>
      <c:valAx>
        <c:axId val="18937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7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'Lines and Area'!$B$6</c:f>
              <c:strCache>
                <c:ptCount val="1"/>
                <c:pt idx="0">
                  <c:v>Round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'Lines and Area'!$A$7:$A$9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'Lines and Area'!$B$7:$B$9</c:f>
              <c:numCache>
                <c:formatCode>_("$"* #,##0_);_("$"* \(#,##0\);_("$"* "-"??_);_(@_)</c:formatCode>
                <c:ptCount val="3"/>
                <c:pt idx="0">
                  <c:v>50</c:v>
                </c:pt>
                <c:pt idx="1">
                  <c:v>200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E2-D846-814B-F24AFEF5DE52}"/>
            </c:ext>
          </c:extLst>
        </c:ser>
        <c:ser>
          <c:idx val="1"/>
          <c:order val="1"/>
          <c:tx>
            <c:strRef>
              <c:f>'Lines and Area'!$C$6</c:f>
              <c:strCache>
                <c:ptCount val="1"/>
                <c:pt idx="0">
                  <c:v>Round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'Lines and Area'!$A$7:$A$9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'Lines and Area'!$C$7:$C$9</c:f>
              <c:numCache>
                <c:formatCode>_("$"* #,##0_);_("$"* \(#,##0\);_("$"* "-"??_);_(@_)</c:formatCode>
                <c:ptCount val="3"/>
                <c:pt idx="0">
                  <c:v>90</c:v>
                </c:pt>
                <c:pt idx="1">
                  <c:v>190</c:v>
                </c:pt>
                <c:pt idx="2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E2-D846-814B-F24AFEF5DE52}"/>
            </c:ext>
          </c:extLst>
        </c:ser>
        <c:ser>
          <c:idx val="2"/>
          <c:order val="2"/>
          <c:tx>
            <c:strRef>
              <c:f>'Lines and Area'!$D$6</c:f>
              <c:strCache>
                <c:ptCount val="1"/>
                <c:pt idx="0">
                  <c:v>Round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'Lines and Area'!$A$7:$A$9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'Lines and Area'!$D$7:$D$9</c:f>
              <c:numCache>
                <c:formatCode>_("$"* #,##0_);_("$"* \(#,##0\);_("$"* "-"??_);_(@_)</c:formatCode>
                <c:ptCount val="3"/>
                <c:pt idx="0">
                  <c:v>125</c:v>
                </c:pt>
                <c:pt idx="1">
                  <c:v>90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EE2-D846-814B-F24AFEF5DE52}"/>
            </c:ext>
          </c:extLst>
        </c:ser>
        <c:ser>
          <c:idx val="3"/>
          <c:order val="3"/>
          <c:tx>
            <c:strRef>
              <c:f>'Lines and Area'!$E$6</c:f>
              <c:strCache>
                <c:ptCount val="1"/>
                <c:pt idx="0">
                  <c:v>Round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'Lines and Area'!$A$7:$A$9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'Lines and Area'!$E$7:$E$9</c:f>
              <c:numCache>
                <c:formatCode>_("$"* #,##0_);_("$"* \(#,##0\);_("$"* "-"??_);_(@_)</c:formatCode>
                <c:ptCount val="3"/>
                <c:pt idx="0">
                  <c:v>190</c:v>
                </c:pt>
                <c:pt idx="1">
                  <c:v>55</c:v>
                </c:pt>
                <c:pt idx="2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E2-D846-814B-F24AFEF5DE52}"/>
            </c:ext>
          </c:extLst>
        </c:ser>
        <c:ser>
          <c:idx val="4"/>
          <c:order val="4"/>
          <c:tx>
            <c:strRef>
              <c:f>'Lines and Area'!#REF!</c:f>
              <c:strCache>
                <c:ptCount val="1"/>
                <c:pt idx="0">
                  <c:v>Round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'Lines and Area'!$A$7:$A$9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'Lines and Area'!#REF!</c:f>
              <c:numCache>
                <c:formatCode>_("$"* #,##0_);_("$"* \(#,##0\);_("$"* "-"??_);_(@_)</c:formatCode>
                <c:ptCount val="3"/>
                <c:pt idx="0">
                  <c:v>150</c:v>
                </c:pt>
                <c:pt idx="1">
                  <c:v>95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EE2-D846-814B-F24AFEF5D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77584"/>
        <c:axId val="189379216"/>
      </c:areaChart>
      <c:catAx>
        <c:axId val="18937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9216"/>
        <c:crosses val="autoZero"/>
        <c:auto val="1"/>
        <c:lblAlgn val="ctr"/>
        <c:lblOffset val="100"/>
        <c:noMultiLvlLbl val="0"/>
      </c:catAx>
      <c:valAx>
        <c:axId val="18937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7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'Lines and Area'!$A$7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'Lines and Area'!$B$6:$E$6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'Lines and Area'!$B$7:$E$7</c:f>
              <c:numCache>
                <c:formatCode>_("$"* #,##0_);_("$"* \(#,##0\);_("$"* "-"??_);_(@_)</c:formatCode>
                <c:ptCount val="4"/>
                <c:pt idx="0">
                  <c:v>50</c:v>
                </c:pt>
                <c:pt idx="1">
                  <c:v>90</c:v>
                </c:pt>
                <c:pt idx="2">
                  <c:v>125</c:v>
                </c:pt>
                <c:pt idx="3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92-F940-B864-8BAD4681A6F5}"/>
            </c:ext>
          </c:extLst>
        </c:ser>
        <c:ser>
          <c:idx val="1"/>
          <c:order val="1"/>
          <c:tx>
            <c:strRef>
              <c:f>'Lines and Area'!$A$8</c:f>
              <c:strCache>
                <c:ptCount val="1"/>
                <c:pt idx="0">
                  <c:v>Blight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'Lines and Area'!$B$6:$E$6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'Lines and Area'!$B$8:$E$8</c:f>
              <c:numCache>
                <c:formatCode>_("$"* #,##0_);_("$"* \(#,##0\);_("$"* "-"??_);_(@_)</c:formatCode>
                <c:ptCount val="4"/>
                <c:pt idx="0">
                  <c:v>200</c:v>
                </c:pt>
                <c:pt idx="1">
                  <c:v>190</c:v>
                </c:pt>
                <c:pt idx="2">
                  <c:v>90</c:v>
                </c:pt>
                <c:pt idx="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92-F940-B864-8BAD4681A6F5}"/>
            </c:ext>
          </c:extLst>
        </c:ser>
        <c:ser>
          <c:idx val="2"/>
          <c:order val="2"/>
          <c:tx>
            <c:strRef>
              <c:f>'Lines and Area'!$A$9</c:f>
              <c:strCache>
                <c:ptCount val="1"/>
                <c:pt idx="0">
                  <c:v>Cats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'Lines and Area'!$B$6:$E$6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'Lines and Area'!$B$9:$E$9</c:f>
              <c:numCache>
                <c:formatCode>_("$"* #,##0_);_("$"* \(#,##0\);_("$"* "-"??_);_(@_)</c:formatCode>
                <c:ptCount val="4"/>
                <c:pt idx="0">
                  <c:v>50</c:v>
                </c:pt>
                <c:pt idx="1">
                  <c:v>240</c:v>
                </c:pt>
                <c:pt idx="2">
                  <c:v>80</c:v>
                </c:pt>
                <c:pt idx="3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92-F940-B864-8BAD4681A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77584"/>
        <c:axId val="189379216"/>
      </c:areaChart>
      <c:catAx>
        <c:axId val="18937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9216"/>
        <c:crosses val="autoZero"/>
        <c:auto val="1"/>
        <c:lblAlgn val="ctr"/>
        <c:lblOffset val="100"/>
        <c:noMultiLvlLbl val="0"/>
      </c:catAx>
      <c:valAx>
        <c:axId val="18937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7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'Lines and Area'!$B$6</c:f>
              <c:strCache>
                <c:ptCount val="1"/>
                <c:pt idx="0">
                  <c:v>Round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'Lines and Area'!$A$7:$A$9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'Lines and Area'!$B$7:$B$9</c:f>
              <c:numCache>
                <c:formatCode>_("$"* #,##0_);_("$"* \(#,##0\);_("$"* "-"??_);_(@_)</c:formatCode>
                <c:ptCount val="3"/>
                <c:pt idx="0">
                  <c:v>50</c:v>
                </c:pt>
                <c:pt idx="1">
                  <c:v>200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E-FE40-9EA5-68689FEE72A6}"/>
            </c:ext>
          </c:extLst>
        </c:ser>
        <c:ser>
          <c:idx val="1"/>
          <c:order val="1"/>
          <c:tx>
            <c:strRef>
              <c:f>'Lines and Area'!$C$6</c:f>
              <c:strCache>
                <c:ptCount val="1"/>
                <c:pt idx="0">
                  <c:v>Round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'Lines and Area'!$A$7:$A$9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'Lines and Area'!$C$7:$C$9</c:f>
              <c:numCache>
                <c:formatCode>_("$"* #,##0_);_("$"* \(#,##0\);_("$"* "-"??_);_(@_)</c:formatCode>
                <c:ptCount val="3"/>
                <c:pt idx="0">
                  <c:v>90</c:v>
                </c:pt>
                <c:pt idx="1">
                  <c:v>190</c:v>
                </c:pt>
                <c:pt idx="2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0E-FE40-9EA5-68689FEE72A6}"/>
            </c:ext>
          </c:extLst>
        </c:ser>
        <c:ser>
          <c:idx val="2"/>
          <c:order val="2"/>
          <c:tx>
            <c:strRef>
              <c:f>'Lines and Area'!$D$6</c:f>
              <c:strCache>
                <c:ptCount val="1"/>
                <c:pt idx="0">
                  <c:v>Round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'Lines and Area'!$A$7:$A$9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'Lines and Area'!$D$7:$D$9</c:f>
              <c:numCache>
                <c:formatCode>_("$"* #,##0_);_("$"* \(#,##0\);_("$"* "-"??_);_(@_)</c:formatCode>
                <c:ptCount val="3"/>
                <c:pt idx="0">
                  <c:v>125</c:v>
                </c:pt>
                <c:pt idx="1">
                  <c:v>90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0E-FE40-9EA5-68689FEE72A6}"/>
            </c:ext>
          </c:extLst>
        </c:ser>
        <c:ser>
          <c:idx val="3"/>
          <c:order val="3"/>
          <c:tx>
            <c:strRef>
              <c:f>'Lines and Area'!$E$6</c:f>
              <c:strCache>
                <c:ptCount val="1"/>
                <c:pt idx="0">
                  <c:v>Round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'Lines and Area'!$A$7:$A$9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'Lines and Area'!$E$7:$E$9</c:f>
              <c:numCache>
                <c:formatCode>_("$"* #,##0_);_("$"* \(#,##0\);_("$"* "-"??_);_(@_)</c:formatCode>
                <c:ptCount val="3"/>
                <c:pt idx="0">
                  <c:v>190</c:v>
                </c:pt>
                <c:pt idx="1">
                  <c:v>55</c:v>
                </c:pt>
                <c:pt idx="2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70E-FE40-9EA5-68689FEE72A6}"/>
            </c:ext>
          </c:extLst>
        </c:ser>
        <c:ser>
          <c:idx val="4"/>
          <c:order val="4"/>
          <c:tx>
            <c:strRef>
              <c:f>'Lines and Area'!#REF!</c:f>
              <c:strCache>
                <c:ptCount val="1"/>
                <c:pt idx="0">
                  <c:v>Round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'Lines and Area'!$A$7:$A$9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'Lines and Area'!#REF!</c:f>
              <c:numCache>
                <c:formatCode>_("$"* #,##0_);_("$"* \(#,##0\);_("$"* "-"??_);_(@_)</c:formatCode>
                <c:ptCount val="3"/>
                <c:pt idx="0">
                  <c:v>150</c:v>
                </c:pt>
                <c:pt idx="1">
                  <c:v>95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0E-FE40-9EA5-68689FEE7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77584"/>
        <c:axId val="189379216"/>
      </c:areaChart>
      <c:catAx>
        <c:axId val="18937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9216"/>
        <c:crosses val="autoZero"/>
        <c:auto val="1"/>
        <c:lblAlgn val="ctr"/>
        <c:lblOffset val="100"/>
        <c:noMultiLvlLbl val="0"/>
      </c:catAx>
      <c:valAx>
        <c:axId val="18937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7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'Lines and Area'!$A$7</c:f>
              <c:strCache>
                <c:ptCount val="1"/>
                <c:pt idx="0">
                  <c:v>Apple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'Lines and Area'!$B$6:$E$6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'Lines and Area'!$B$7:$E$7</c:f>
              <c:numCache>
                <c:formatCode>_("$"* #,##0_);_("$"* \(#,##0\);_("$"* "-"??_);_(@_)</c:formatCode>
                <c:ptCount val="4"/>
                <c:pt idx="0">
                  <c:v>50</c:v>
                </c:pt>
                <c:pt idx="1">
                  <c:v>90</c:v>
                </c:pt>
                <c:pt idx="2">
                  <c:v>125</c:v>
                </c:pt>
                <c:pt idx="3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1D-124B-856A-34E3998D1506}"/>
            </c:ext>
          </c:extLst>
        </c:ser>
        <c:ser>
          <c:idx val="1"/>
          <c:order val="1"/>
          <c:tx>
            <c:strRef>
              <c:f>'Lines and Area'!$A$8</c:f>
              <c:strCache>
                <c:ptCount val="1"/>
                <c:pt idx="0">
                  <c:v>Blight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'Lines and Area'!$B$6:$E$6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'Lines and Area'!$B$8:$E$8</c:f>
              <c:numCache>
                <c:formatCode>_("$"* #,##0_);_("$"* \(#,##0\);_("$"* "-"??_);_(@_)</c:formatCode>
                <c:ptCount val="4"/>
                <c:pt idx="0">
                  <c:v>200</c:v>
                </c:pt>
                <c:pt idx="1">
                  <c:v>190</c:v>
                </c:pt>
                <c:pt idx="2">
                  <c:v>90</c:v>
                </c:pt>
                <c:pt idx="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1D-124B-856A-34E3998D1506}"/>
            </c:ext>
          </c:extLst>
        </c:ser>
        <c:ser>
          <c:idx val="2"/>
          <c:order val="2"/>
          <c:tx>
            <c:strRef>
              <c:f>'Lines and Area'!$A$9</c:f>
              <c:strCache>
                <c:ptCount val="1"/>
                <c:pt idx="0">
                  <c:v>Cats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'Lines and Area'!$B$6:$E$6</c:f>
              <c:strCache>
                <c:ptCount val="4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  <c:pt idx="3">
                  <c:v>Round 4</c:v>
                </c:pt>
              </c:strCache>
            </c:strRef>
          </c:cat>
          <c:val>
            <c:numRef>
              <c:f>'Lines and Area'!$B$9:$E$9</c:f>
              <c:numCache>
                <c:formatCode>_("$"* #,##0_);_("$"* \(#,##0\);_("$"* "-"??_);_(@_)</c:formatCode>
                <c:ptCount val="4"/>
                <c:pt idx="0">
                  <c:v>50</c:v>
                </c:pt>
                <c:pt idx="1">
                  <c:v>240</c:v>
                </c:pt>
                <c:pt idx="2">
                  <c:v>80</c:v>
                </c:pt>
                <c:pt idx="3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1D-124B-856A-34E3998D15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77584"/>
        <c:axId val="189379216"/>
      </c:areaChart>
      <c:catAx>
        <c:axId val="18937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9216"/>
        <c:crosses val="autoZero"/>
        <c:auto val="1"/>
        <c:lblAlgn val="ctr"/>
        <c:lblOffset val="100"/>
        <c:noMultiLvlLbl val="0"/>
      </c:catAx>
      <c:valAx>
        <c:axId val="18937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7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'Lines and Area'!$B$6</c:f>
              <c:strCache>
                <c:ptCount val="1"/>
                <c:pt idx="0">
                  <c:v>Round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'Lines and Area'!$A$7:$A$9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'Lines and Area'!$B$7:$B$9</c:f>
              <c:numCache>
                <c:formatCode>_("$"* #,##0_);_("$"* \(#,##0\);_("$"* "-"??_);_(@_)</c:formatCode>
                <c:ptCount val="3"/>
                <c:pt idx="0">
                  <c:v>50</c:v>
                </c:pt>
                <c:pt idx="1">
                  <c:v>200</c:v>
                </c:pt>
                <c:pt idx="2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9-2D45-B9AB-28FF6847B1EE}"/>
            </c:ext>
          </c:extLst>
        </c:ser>
        <c:ser>
          <c:idx val="1"/>
          <c:order val="1"/>
          <c:tx>
            <c:strRef>
              <c:f>'Lines and Area'!$C$6</c:f>
              <c:strCache>
                <c:ptCount val="1"/>
                <c:pt idx="0">
                  <c:v>Round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'Lines and Area'!$A$7:$A$9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'Lines and Area'!$C$7:$C$9</c:f>
              <c:numCache>
                <c:formatCode>_("$"* #,##0_);_("$"* \(#,##0\);_("$"* "-"??_);_(@_)</c:formatCode>
                <c:ptCount val="3"/>
                <c:pt idx="0">
                  <c:v>90</c:v>
                </c:pt>
                <c:pt idx="1">
                  <c:v>190</c:v>
                </c:pt>
                <c:pt idx="2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39-2D45-B9AB-28FF6847B1EE}"/>
            </c:ext>
          </c:extLst>
        </c:ser>
        <c:ser>
          <c:idx val="2"/>
          <c:order val="2"/>
          <c:tx>
            <c:strRef>
              <c:f>'Lines and Area'!$D$6</c:f>
              <c:strCache>
                <c:ptCount val="1"/>
                <c:pt idx="0">
                  <c:v>Round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'Lines and Area'!$A$7:$A$9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'Lines and Area'!$D$7:$D$9</c:f>
              <c:numCache>
                <c:formatCode>_("$"* #,##0_);_("$"* \(#,##0\);_("$"* "-"??_);_(@_)</c:formatCode>
                <c:ptCount val="3"/>
                <c:pt idx="0">
                  <c:v>125</c:v>
                </c:pt>
                <c:pt idx="1">
                  <c:v>90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39-2D45-B9AB-28FF6847B1EE}"/>
            </c:ext>
          </c:extLst>
        </c:ser>
        <c:ser>
          <c:idx val="3"/>
          <c:order val="3"/>
          <c:tx>
            <c:strRef>
              <c:f>'Lines and Area'!$E$6</c:f>
              <c:strCache>
                <c:ptCount val="1"/>
                <c:pt idx="0">
                  <c:v>Round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'Lines and Area'!$A$7:$A$9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'Lines and Area'!$E$7:$E$9</c:f>
              <c:numCache>
                <c:formatCode>_("$"* #,##0_);_("$"* \(#,##0\);_("$"* "-"??_);_(@_)</c:formatCode>
                <c:ptCount val="3"/>
                <c:pt idx="0">
                  <c:v>190</c:v>
                </c:pt>
                <c:pt idx="1">
                  <c:v>55</c:v>
                </c:pt>
                <c:pt idx="2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39-2D45-B9AB-28FF6847B1EE}"/>
            </c:ext>
          </c:extLst>
        </c:ser>
        <c:ser>
          <c:idx val="4"/>
          <c:order val="4"/>
          <c:tx>
            <c:strRef>
              <c:f>'Lines and Area'!#REF!</c:f>
              <c:strCache>
                <c:ptCount val="1"/>
                <c:pt idx="0">
                  <c:v>Round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'Lines and Area'!$A$7:$A$9</c:f>
              <c:strCache>
                <c:ptCount val="3"/>
                <c:pt idx="0">
                  <c:v>Apple</c:v>
                </c:pt>
                <c:pt idx="1">
                  <c:v>Blight</c:v>
                </c:pt>
                <c:pt idx="2">
                  <c:v>Cats</c:v>
                </c:pt>
              </c:strCache>
            </c:strRef>
          </c:cat>
          <c:val>
            <c:numRef>
              <c:f>'Lines and Area'!#REF!</c:f>
              <c:numCache>
                <c:formatCode>_("$"* #,##0_);_("$"* \(#,##0\);_("$"* "-"??_);_(@_)</c:formatCode>
                <c:ptCount val="3"/>
                <c:pt idx="0">
                  <c:v>150</c:v>
                </c:pt>
                <c:pt idx="1">
                  <c:v>95</c:v>
                </c:pt>
                <c:pt idx="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39-2D45-B9AB-28FF6847B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77584"/>
        <c:axId val="189379216"/>
      </c:areaChart>
      <c:catAx>
        <c:axId val="18937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9216"/>
        <c:crosses val="autoZero"/>
        <c:auto val="1"/>
        <c:lblAlgn val="ctr"/>
        <c:lblOffset val="100"/>
        <c:noMultiLvlLbl val="0"/>
      </c:catAx>
      <c:valAx>
        <c:axId val="18937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77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3200"/>
              <a:t>Profit</a:t>
            </a:r>
            <a:r>
              <a:rPr lang="en-US" sz="3200" baseline="0"/>
              <a:t> by Round</a:t>
            </a:r>
            <a:endParaRPr lang="en-US" sz="3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Styling'!$B$9</c:f>
              <c:strCache>
                <c:ptCount val="1"/>
                <c:pt idx="0">
                  <c:v>Round 1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'Chart Styling'!$A$10:$A$15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'Chart Styling'!$B$10:$B$15</c:f>
              <c:numCache>
                <c:formatCode>_("$"* #,##0_);_("$"* \(#,##0\);_("$"* "-"??_);_(@_)</c:formatCode>
                <c:ptCount val="6"/>
                <c:pt idx="0">
                  <c:v>1799.9999999999989</c:v>
                </c:pt>
                <c:pt idx="1">
                  <c:v>0</c:v>
                </c:pt>
                <c:pt idx="2">
                  <c:v>1875</c:v>
                </c:pt>
                <c:pt idx="3">
                  <c:v>1799.9999999999989</c:v>
                </c:pt>
                <c:pt idx="4">
                  <c:v>1800</c:v>
                </c:pt>
                <c:pt idx="5">
                  <c:v>1631.9999999999993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B0-4555-8963-2B9845D71D15}"/>
            </c:ext>
          </c:extLst>
        </c:ser>
        <c:ser>
          <c:idx val="1"/>
          <c:order val="1"/>
          <c:tx>
            <c:strRef>
              <c:f>'Chart Styling'!$C$9</c:f>
              <c:strCache>
                <c:ptCount val="1"/>
                <c:pt idx="0">
                  <c:v>Round 2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'Chart Styling'!$A$10:$A$15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'Chart Styling'!$C$10:$C$15</c:f>
              <c:numCache>
                <c:formatCode>_("$"* #,##0_);_("$"* \(#,##0\);_("$"* "-"??_);_(@_)</c:formatCode>
                <c:ptCount val="6"/>
                <c:pt idx="0">
                  <c:v>1574.9999999999995</c:v>
                </c:pt>
                <c:pt idx="1">
                  <c:v>1200</c:v>
                </c:pt>
                <c:pt idx="2">
                  <c:v>1800</c:v>
                </c:pt>
                <c:pt idx="3">
                  <c:v>1800</c:v>
                </c:pt>
                <c:pt idx="4">
                  <c:v>1631.9999999999993</c:v>
                </c:pt>
                <c:pt idx="5">
                  <c:v>1869.1200000000003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B0-4555-8963-2B9845D71D15}"/>
            </c:ext>
          </c:extLst>
        </c:ser>
        <c:ser>
          <c:idx val="2"/>
          <c:order val="2"/>
          <c:tx>
            <c:strRef>
              <c:f>'Chart Styling'!$D$9</c:f>
              <c:strCache>
                <c:ptCount val="1"/>
                <c:pt idx="0">
                  <c:v>Round 3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8B0-4555-8963-2B9845D71D15}"/>
              </c:ext>
            </c:extLst>
          </c:dPt>
          <c:dLbls>
            <c:delete val="1"/>
          </c:dLbls>
          <c:cat>
            <c:strRef>
              <c:f>'Chart Styling'!$A$10:$A$15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'Chart Styling'!$D$10:$D$15</c:f>
              <c:numCache>
                <c:formatCode>_("$"* #,##0_);_("$"* \(#,##0\);_("$"* "-"??_);_(@_)</c:formatCode>
                <c:ptCount val="6"/>
                <c:pt idx="0">
                  <c:v>2000</c:v>
                </c:pt>
                <c:pt idx="1">
                  <c:v>519.99999999999773</c:v>
                </c:pt>
                <c:pt idx="2">
                  <c:v>1937.5</c:v>
                </c:pt>
                <c:pt idx="3">
                  <c:v>1547.4999999999989</c:v>
                </c:pt>
                <c:pt idx="4">
                  <c:v>2174.0000000000009</c:v>
                </c:pt>
                <c:pt idx="5">
                  <c:v>1985.6000000000006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8B0-4555-8963-2B9845D71D15}"/>
            </c:ext>
          </c:extLst>
        </c:ser>
        <c:ser>
          <c:idx val="3"/>
          <c:order val="3"/>
          <c:tx>
            <c:strRef>
              <c:f>'Chart Styling'!$E$9</c:f>
              <c:strCache>
                <c:ptCount val="1"/>
                <c:pt idx="0">
                  <c:v>Round 4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38100">
              <a:solidFill>
                <a:schemeClr val="tx1"/>
              </a:solidFill>
            </a:ln>
            <a:effectLst/>
          </c:spPr>
          <c:invertIfNegative val="0"/>
          <c:dLbls>
            <c:dLbl>
              <c:idx val="1"/>
              <c:layout>
                <c:manualLayout>
                  <c:x val="1.6156191786293801E-2"/>
                  <c:y val="2.5706940874035988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9B9-FD40-B068-11D37833C4F6}"/>
                </c:ext>
              </c:extLst>
            </c:dLbl>
            <c:dLbl>
              <c:idx val="4"/>
              <c:layout>
                <c:manualLayout>
                  <c:x val="1.2565926944895098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B9-FD40-B068-11D37833C4F6}"/>
                </c:ext>
              </c:extLst>
            </c:dLbl>
            <c:dLbl>
              <c:idx val="5"/>
              <c:layout>
                <c:manualLayout>
                  <c:x val="8.975662103496462E-3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9B9-FD40-B068-11D37833C4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Styling'!$A$10:$A$15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'Chart Styling'!$E$10:$E$15</c:f>
              <c:numCache>
                <c:formatCode>_("$"* #,##0_);_("$"* \(#,##0\);_("$"* "-"??_);_(@_)</c:formatCode>
                <c:ptCount val="6"/>
                <c:pt idx="0">
                  <c:v>3000</c:v>
                </c:pt>
                <c:pt idx="1">
                  <c:v>204</c:v>
                </c:pt>
                <c:pt idx="2">
                  <c:v>2010</c:v>
                </c:pt>
                <c:pt idx="3">
                  <c:v>2043</c:v>
                </c:pt>
                <c:pt idx="4">
                  <c:v>200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8B0-4555-8963-2B9845D71D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-2063939248"/>
        <c:axId val="-2046112608"/>
      </c:barChart>
      <c:catAx>
        <c:axId val="-206393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46112608"/>
        <c:crosses val="autoZero"/>
        <c:auto val="1"/>
        <c:lblAlgn val="ctr"/>
        <c:lblOffset val="100"/>
        <c:noMultiLvlLbl val="0"/>
      </c:catAx>
      <c:valAx>
        <c:axId val="-2046112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>
                    <a:solidFill>
                      <a:schemeClr val="tx1"/>
                    </a:solidFill>
                  </a:rPr>
                  <a:t>Profit in Dollars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63939248"/>
        <c:crosses val="autoZero"/>
        <c:crossBetween val="between"/>
        <c:majorUnit val="1000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r>
              <a:rPr lang="en-US" sz="2400">
                <a:solidFill>
                  <a:schemeClr val="accent5"/>
                </a:solidFill>
              </a:rPr>
              <a:t>Price by Round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accent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Styling'!$B$44</c:f>
              <c:strCache>
                <c:ptCount val="1"/>
                <c:pt idx="0">
                  <c:v>Round 1</c:v>
                </c:pt>
              </c:strCache>
            </c:strRef>
          </c:tx>
          <c:spPr>
            <a:solidFill>
              <a:schemeClr val="accent3">
                <a:shade val="58000"/>
              </a:schemeClr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8B5-43F5-87F9-E0E0892D0E52}"/>
              </c:ext>
            </c:extLst>
          </c:dPt>
          <c:cat>
            <c:strRef>
              <c:f>'Chart Styling'!$A$45:$A$50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'Chart Styling'!$B$45:$B$50</c:f>
              <c:numCache>
                <c:formatCode>_("$"* #,##0.00_);_("$"* \(#,##0.00\);_("$"* "-"??_);_(@_)</c:formatCode>
                <c:ptCount val="6"/>
                <c:pt idx="0">
                  <c:v>6.5</c:v>
                </c:pt>
                <c:pt idx="1">
                  <c:v>5</c:v>
                </c:pt>
                <c:pt idx="2">
                  <c:v>6.25</c:v>
                </c:pt>
                <c:pt idx="3">
                  <c:v>6.5</c:v>
                </c:pt>
                <c:pt idx="4">
                  <c:v>6</c:v>
                </c:pt>
                <c:pt idx="5">
                  <c:v>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B5-43F5-87F9-E0E0892D0E52}"/>
            </c:ext>
          </c:extLst>
        </c:ser>
        <c:ser>
          <c:idx val="1"/>
          <c:order val="1"/>
          <c:tx>
            <c:strRef>
              <c:f>'Chart Styling'!$C$44</c:f>
              <c:strCache>
                <c:ptCount val="1"/>
                <c:pt idx="0">
                  <c:v>Round 2</c:v>
                </c:pt>
              </c:strCache>
            </c:strRef>
          </c:tx>
          <c:spPr>
            <a:solidFill>
              <a:schemeClr val="accent3">
                <a:shade val="86000"/>
              </a:schemeClr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8B5-43F5-87F9-E0E0892D0E52}"/>
              </c:ext>
            </c:extLst>
          </c:dPt>
          <c:cat>
            <c:strRef>
              <c:f>'Chart Styling'!$A$45:$A$50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'Chart Styling'!$C$45:$C$50</c:f>
              <c:numCache>
                <c:formatCode>_("$"* #,##0.00_);_("$"* \(#,##0.00\);_("$"* "-"??_);_(@_)</c:formatCode>
                <c:ptCount val="6"/>
                <c:pt idx="0">
                  <c:v>6.75</c:v>
                </c:pt>
                <c:pt idx="1">
                  <c:v>5.5</c:v>
                </c:pt>
                <c:pt idx="2">
                  <c:v>6</c:v>
                </c:pt>
                <c:pt idx="3">
                  <c:v>6</c:v>
                </c:pt>
                <c:pt idx="4">
                  <c:v>5.8</c:v>
                </c:pt>
                <c:pt idx="5">
                  <c:v>6.18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8B5-43F5-87F9-E0E0892D0E52}"/>
            </c:ext>
          </c:extLst>
        </c:ser>
        <c:ser>
          <c:idx val="2"/>
          <c:order val="2"/>
          <c:tx>
            <c:strRef>
              <c:f>'Chart Styling'!$D$44</c:f>
              <c:strCache>
                <c:ptCount val="1"/>
                <c:pt idx="0">
                  <c:v>Round 3</c:v>
                </c:pt>
              </c:strCache>
            </c:strRef>
          </c:tx>
          <c:spPr>
            <a:solidFill>
              <a:schemeClr val="accent3">
                <a:tint val="86000"/>
              </a:schemeClr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8B5-43F5-87F9-E0E0892D0E52}"/>
              </c:ext>
            </c:extLst>
          </c:dPt>
          <c:cat>
            <c:strRef>
              <c:f>'Chart Styling'!$A$45:$A$50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'Chart Styling'!$D$45:$D$50</c:f>
              <c:numCache>
                <c:formatCode>_("$"* #,##0.00_);_("$"* \(#,##0.00\);_("$"* "-"??_);_(@_)</c:formatCode>
                <c:ptCount val="6"/>
                <c:pt idx="0">
                  <c:v>6.25</c:v>
                </c:pt>
                <c:pt idx="1">
                  <c:v>6.5</c:v>
                </c:pt>
                <c:pt idx="2">
                  <c:v>6.25</c:v>
                </c:pt>
                <c:pt idx="3">
                  <c:v>6.75</c:v>
                </c:pt>
                <c:pt idx="4">
                  <c:v>5.9</c:v>
                </c:pt>
                <c:pt idx="5">
                  <c:v>6.35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8B5-43F5-87F9-E0E0892D0E52}"/>
            </c:ext>
          </c:extLst>
        </c:ser>
        <c:ser>
          <c:idx val="3"/>
          <c:order val="3"/>
          <c:tx>
            <c:strRef>
              <c:f>'Chart Styling'!$E$44</c:f>
              <c:strCache>
                <c:ptCount val="1"/>
                <c:pt idx="0">
                  <c:v>Round 4</c:v>
                </c:pt>
              </c:strCache>
            </c:strRef>
          </c:tx>
          <c:spPr>
            <a:solidFill>
              <a:schemeClr val="accent3">
                <a:tint val="58000"/>
              </a:schemeClr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08B5-43F5-87F9-E0E0892D0E52}"/>
              </c:ext>
            </c:extLst>
          </c:dPt>
          <c:cat>
            <c:strRef>
              <c:f>'Chart Styling'!$A$45:$A$50</c:f>
              <c:strCache>
                <c:ptCount val="6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</c:strCache>
            </c:strRef>
          </c:cat>
          <c:val>
            <c:numRef>
              <c:f>'Chart Styling'!$E$45:$E$50</c:f>
              <c:numCache>
                <c:formatCode>_("$"* #,##0.00_);_("$"* \(#,##0.00\);_("$"* "-"??_);_(@_)</c:formatCode>
                <c:ptCount val="6"/>
                <c:pt idx="0">
                  <c:v>6.25</c:v>
                </c:pt>
                <c:pt idx="1">
                  <c:v>6.24</c:v>
                </c:pt>
                <c:pt idx="2">
                  <c:v>6.25</c:v>
                </c:pt>
                <c:pt idx="3">
                  <c:v>6.75</c:v>
                </c:pt>
                <c:pt idx="4">
                  <c:v>5.9</c:v>
                </c:pt>
                <c:pt idx="5">
                  <c:v>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8B5-43F5-87F9-E0E0892D0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64688896"/>
        <c:axId val="-2083440816"/>
      </c:barChart>
      <c:catAx>
        <c:axId val="-206468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3440816"/>
        <c:crosses val="autoZero"/>
        <c:auto val="1"/>
        <c:lblAlgn val="ctr"/>
        <c:lblOffset val="100"/>
        <c:noMultiLvlLbl val="0"/>
      </c:catAx>
      <c:valAx>
        <c:axId val="-2083440816"/>
        <c:scaling>
          <c:orientation val="minMax"/>
          <c:max val="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6468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'Chart Mistakes'!$A$4</c:f>
              <c:strCache>
                <c:ptCount val="1"/>
                <c:pt idx="0">
                  <c:v>Team A Sales</c:v>
                </c:pt>
              </c:strCache>
            </c:strRef>
          </c:tx>
          <c:invertIfNegative val="0"/>
          <c:cat>
            <c:strRef>
              <c:f>'Chart Mistakes'!$B$3:$I$3</c:f>
              <c:strCache>
                <c:ptCount val="8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  <c:pt idx="5">
                  <c:v>Round 5</c:v>
                </c:pt>
                <c:pt idx="6">
                  <c:v>Round 6</c:v>
                </c:pt>
                <c:pt idx="7">
                  <c:v>Round 7</c:v>
                </c:pt>
              </c:strCache>
            </c:strRef>
          </c:cat>
          <c:val>
            <c:numRef>
              <c:f>'Chart Mistakes'!$B$4:$I$4</c:f>
              <c:numCache>
                <c:formatCode>_(* #,##0_);_(* \(#,##0\);_(* "-"??_);_(@_)</c:formatCode>
                <c:ptCount val="8"/>
                <c:pt idx="0">
                  <c:v>800</c:v>
                </c:pt>
                <c:pt idx="1">
                  <c:v>800</c:v>
                </c:pt>
                <c:pt idx="2">
                  <c:v>600</c:v>
                </c:pt>
                <c:pt idx="3">
                  <c:v>1400</c:v>
                </c:pt>
                <c:pt idx="4">
                  <c:v>1500</c:v>
                </c:pt>
                <c:pt idx="5">
                  <c:v>1300</c:v>
                </c:pt>
                <c:pt idx="6">
                  <c:v>1200</c:v>
                </c:pt>
                <c:pt idx="7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25-1147-B345-EACC61426E28}"/>
            </c:ext>
          </c:extLst>
        </c:ser>
        <c:ser>
          <c:idx val="1"/>
          <c:order val="1"/>
          <c:tx>
            <c:strRef>
              <c:f>'Chart Mistakes'!$A$5</c:f>
              <c:strCache>
                <c:ptCount val="1"/>
                <c:pt idx="0">
                  <c:v>Team C Sales</c:v>
                </c:pt>
              </c:strCache>
            </c:strRef>
          </c:tx>
          <c:invertIfNegative val="0"/>
          <c:cat>
            <c:strRef>
              <c:f>'Chart Mistakes'!$B$3:$I$3</c:f>
              <c:strCache>
                <c:ptCount val="8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  <c:pt idx="5">
                  <c:v>Round 5</c:v>
                </c:pt>
                <c:pt idx="6">
                  <c:v>Round 6</c:v>
                </c:pt>
                <c:pt idx="7">
                  <c:v>Round 7</c:v>
                </c:pt>
              </c:strCache>
            </c:strRef>
          </c:cat>
          <c:val>
            <c:numRef>
              <c:f>'Chart Mistakes'!$B$5:$I$5</c:f>
              <c:numCache>
                <c:formatCode>_(* #,##0_);_(* \(#,##0\);_(* "-"??_);_(@_)</c:formatCode>
                <c:ptCount val="8"/>
                <c:pt idx="0">
                  <c:v>400</c:v>
                </c:pt>
                <c:pt idx="1">
                  <c:v>400</c:v>
                </c:pt>
                <c:pt idx="2">
                  <c:v>300</c:v>
                </c:pt>
                <c:pt idx="3">
                  <c:v>700</c:v>
                </c:pt>
                <c:pt idx="4">
                  <c:v>750</c:v>
                </c:pt>
                <c:pt idx="5">
                  <c:v>650</c:v>
                </c:pt>
                <c:pt idx="6">
                  <c:v>600</c:v>
                </c:pt>
                <c:pt idx="7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25-1147-B345-EACC61426E28}"/>
            </c:ext>
          </c:extLst>
        </c:ser>
        <c:ser>
          <c:idx val="2"/>
          <c:order val="2"/>
          <c:tx>
            <c:strRef>
              <c:f>'Chart Mistakes'!$A$6</c:f>
              <c:strCache>
                <c:ptCount val="1"/>
                <c:pt idx="0">
                  <c:v>Team B Sales</c:v>
                </c:pt>
              </c:strCache>
            </c:strRef>
          </c:tx>
          <c:invertIfNegative val="0"/>
          <c:cat>
            <c:strRef>
              <c:f>'Chart Mistakes'!$B$3:$I$3</c:f>
              <c:strCache>
                <c:ptCount val="8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  <c:pt idx="5">
                  <c:v>Round 5</c:v>
                </c:pt>
                <c:pt idx="6">
                  <c:v>Round 6</c:v>
                </c:pt>
                <c:pt idx="7">
                  <c:v>Round 7</c:v>
                </c:pt>
              </c:strCache>
            </c:strRef>
          </c:cat>
          <c:val>
            <c:numRef>
              <c:f>'Chart Mistakes'!$B$6:$I$6</c:f>
              <c:numCache>
                <c:formatCode>General</c:formatCode>
                <c:ptCount val="8"/>
                <c:pt idx="0">
                  <c:v>300</c:v>
                </c:pt>
                <c:pt idx="1">
                  <c:v>350</c:v>
                </c:pt>
                <c:pt idx="2">
                  <c:v>450</c:v>
                </c:pt>
                <c:pt idx="3">
                  <c:v>100</c:v>
                </c:pt>
                <c:pt idx="4">
                  <c:v>50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25-1147-B345-EACC61426E28}"/>
            </c:ext>
          </c:extLst>
        </c:ser>
        <c:ser>
          <c:idx val="3"/>
          <c:order val="3"/>
          <c:tx>
            <c:strRef>
              <c:f>'Chart Mistakes'!$A$7</c:f>
              <c:strCache>
                <c:ptCount val="1"/>
                <c:pt idx="0">
                  <c:v>Market Average</c:v>
                </c:pt>
              </c:strCache>
            </c:strRef>
          </c:tx>
          <c:invertIfNegative val="0"/>
          <c:cat>
            <c:strRef>
              <c:f>'Chart Mistakes'!$B$3:$I$3</c:f>
              <c:strCache>
                <c:ptCount val="8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  <c:pt idx="5">
                  <c:v>Round 5</c:v>
                </c:pt>
                <c:pt idx="6">
                  <c:v>Round 6</c:v>
                </c:pt>
                <c:pt idx="7">
                  <c:v>Round 7</c:v>
                </c:pt>
              </c:strCache>
            </c:strRef>
          </c:cat>
          <c:val>
            <c:numRef>
              <c:f>'Chart Mistakes'!$B$7:$I$7</c:f>
              <c:numCache>
                <c:formatCode>_(* #,##0_);_(* \(#,##0\);_(* "-"??_);_(@_)</c:formatCode>
                <c:ptCount val="8"/>
                <c:pt idx="0">
                  <c:v>500</c:v>
                </c:pt>
                <c:pt idx="1">
                  <c:v>516.66666666666663</c:v>
                </c:pt>
                <c:pt idx="2">
                  <c:v>450</c:v>
                </c:pt>
                <c:pt idx="3">
                  <c:v>733.33333333333337</c:v>
                </c:pt>
                <c:pt idx="4">
                  <c:v>766.66666666666663</c:v>
                </c:pt>
                <c:pt idx="5">
                  <c:v>650</c:v>
                </c:pt>
                <c:pt idx="6">
                  <c:v>600</c:v>
                </c:pt>
                <c:pt idx="7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8-914D-B76E-360691C4A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2083604192"/>
        <c:axId val="-2065088288"/>
      </c:barChart>
      <c:catAx>
        <c:axId val="-20836041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65088288"/>
        <c:crosses val="autoZero"/>
        <c:auto val="1"/>
        <c:lblAlgn val="ctr"/>
        <c:lblOffset val="100"/>
        <c:noMultiLvlLbl val="0"/>
      </c:catAx>
      <c:valAx>
        <c:axId val="-206508828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-20836041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Mistakes'!$A$25</c:f>
              <c:strCache>
                <c:ptCount val="1"/>
                <c:pt idx="0">
                  <c:v>Sale Unit Count</c:v>
                </c:pt>
              </c:strCache>
            </c:strRef>
          </c:tx>
          <c:invertIfNegative val="0"/>
          <c:cat>
            <c:strRef>
              <c:f>'Chart Mistakes'!$B$24:$I$24</c:f>
              <c:strCache>
                <c:ptCount val="8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  <c:pt idx="5">
                  <c:v>Round 5</c:v>
                </c:pt>
                <c:pt idx="6">
                  <c:v>Round 6</c:v>
                </c:pt>
                <c:pt idx="7">
                  <c:v>Round 7</c:v>
                </c:pt>
              </c:strCache>
            </c:strRef>
          </c:cat>
          <c:val>
            <c:numRef>
              <c:f>'Chart Mistakes'!$B$25:$I$25</c:f>
              <c:numCache>
                <c:formatCode>_(* #,##0_);_(* \(#,##0\);_(* "-"??_);_(@_)</c:formatCode>
                <c:ptCount val="8"/>
                <c:pt idx="0">
                  <c:v>1000</c:v>
                </c:pt>
                <c:pt idx="1">
                  <c:v>2000</c:v>
                </c:pt>
                <c:pt idx="2">
                  <c:v>1500</c:v>
                </c:pt>
                <c:pt idx="3">
                  <c:v>2000</c:v>
                </c:pt>
                <c:pt idx="4">
                  <c:v>1000</c:v>
                </c:pt>
                <c:pt idx="5">
                  <c:v>150</c:v>
                </c:pt>
                <c:pt idx="6">
                  <c:v>1000</c:v>
                </c:pt>
                <c:pt idx="7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49-B24A-AC0F-39D04B6785CD}"/>
            </c:ext>
          </c:extLst>
        </c:ser>
        <c:ser>
          <c:idx val="1"/>
          <c:order val="1"/>
          <c:tx>
            <c:strRef>
              <c:f>'Chart Mistakes'!$A$26</c:f>
              <c:strCache>
                <c:ptCount val="1"/>
                <c:pt idx="0">
                  <c:v>Avg. Unit Revenue</c:v>
                </c:pt>
              </c:strCache>
            </c:strRef>
          </c:tx>
          <c:invertIfNegative val="0"/>
          <c:cat>
            <c:strRef>
              <c:f>'Chart Mistakes'!$B$24:$I$24</c:f>
              <c:strCache>
                <c:ptCount val="8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  <c:pt idx="5">
                  <c:v>Round 5</c:v>
                </c:pt>
                <c:pt idx="6">
                  <c:v>Round 6</c:v>
                </c:pt>
                <c:pt idx="7">
                  <c:v>Round 7</c:v>
                </c:pt>
              </c:strCache>
            </c:strRef>
          </c:cat>
          <c:val>
            <c:numRef>
              <c:f>'Chart Mistakes'!$B$26:$I$26</c:f>
              <c:numCache>
                <c:formatCode>_(* #,##0_);_(* \(#,##0\);_(* "-"??_);_(@_)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49-B24A-AC0F-39D04B6785CD}"/>
            </c:ext>
          </c:extLst>
        </c:ser>
        <c:ser>
          <c:idx val="2"/>
          <c:order val="2"/>
          <c:tx>
            <c:strRef>
              <c:f>'Chart Mistakes'!$A$27</c:f>
              <c:strCache>
                <c:ptCount val="1"/>
                <c:pt idx="0">
                  <c:v>Contribution Margin</c:v>
                </c:pt>
              </c:strCache>
            </c:strRef>
          </c:tx>
          <c:invertIfNegative val="0"/>
          <c:cat>
            <c:strRef>
              <c:f>'Chart Mistakes'!$B$24:$I$24</c:f>
              <c:strCache>
                <c:ptCount val="8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  <c:pt idx="5">
                  <c:v>Round 5</c:v>
                </c:pt>
                <c:pt idx="6">
                  <c:v>Round 6</c:v>
                </c:pt>
                <c:pt idx="7">
                  <c:v>Round 7</c:v>
                </c:pt>
              </c:strCache>
            </c:strRef>
          </c:cat>
          <c:val>
            <c:numRef>
              <c:f>'Chart Mistakes'!$B$27:$I$27</c:f>
              <c:numCache>
                <c:formatCode>0%</c:formatCode>
                <c:ptCount val="8"/>
                <c:pt idx="0">
                  <c:v>0.05</c:v>
                </c:pt>
                <c:pt idx="1">
                  <c:v>0.1</c:v>
                </c:pt>
                <c:pt idx="2">
                  <c:v>0.3</c:v>
                </c:pt>
                <c:pt idx="3">
                  <c:v>1.3</c:v>
                </c:pt>
                <c:pt idx="4">
                  <c:v>4</c:v>
                </c:pt>
                <c:pt idx="5">
                  <c:v>5</c:v>
                </c:pt>
                <c:pt idx="6">
                  <c:v>-1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49-B24A-AC0F-39D04B678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82218304"/>
        <c:axId val="2126849120"/>
      </c:barChart>
      <c:catAx>
        <c:axId val="-20822183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126849120"/>
        <c:crosses val="autoZero"/>
        <c:auto val="1"/>
        <c:lblAlgn val="ctr"/>
        <c:lblOffset val="100"/>
        <c:noMultiLvlLbl val="0"/>
      </c:catAx>
      <c:valAx>
        <c:axId val="2126849120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-2082218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'Chart Mistakes'!$A$47</c:f>
              <c:strCache>
                <c:ptCount val="1"/>
                <c:pt idx="0">
                  <c:v>Product A</c:v>
                </c:pt>
              </c:strCache>
            </c:strRef>
          </c:tx>
          <c:cat>
            <c:strRef>
              <c:f>'Chart Mistakes'!$B$46:$I$46</c:f>
              <c:strCache>
                <c:ptCount val="8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  <c:pt idx="5">
                  <c:v>Round 5</c:v>
                </c:pt>
                <c:pt idx="6">
                  <c:v>Round 6</c:v>
                </c:pt>
                <c:pt idx="7">
                  <c:v>Round 7</c:v>
                </c:pt>
              </c:strCache>
            </c:strRef>
          </c:cat>
          <c:val>
            <c:numRef>
              <c:f>'Chart Mistakes'!$B$47:$I$47</c:f>
              <c:numCache>
                <c:formatCode>_(* #,##0_);_(* \(#,##0\);_(* "-"??_);_(@_)</c:formatCode>
                <c:ptCount val="8"/>
                <c:pt idx="0">
                  <c:v>800</c:v>
                </c:pt>
                <c:pt idx="1">
                  <c:v>800</c:v>
                </c:pt>
                <c:pt idx="2">
                  <c:v>600</c:v>
                </c:pt>
                <c:pt idx="3">
                  <c:v>1400</c:v>
                </c:pt>
                <c:pt idx="4">
                  <c:v>1500</c:v>
                </c:pt>
                <c:pt idx="5" formatCode="General">
                  <c:v>300</c:v>
                </c:pt>
                <c:pt idx="6" formatCode="General">
                  <c:v>350</c:v>
                </c:pt>
                <c:pt idx="7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4F-9E44-8BBA-AF8E39CC8C88}"/>
            </c:ext>
          </c:extLst>
        </c:ser>
        <c:ser>
          <c:idx val="1"/>
          <c:order val="1"/>
          <c:tx>
            <c:strRef>
              <c:f>'Chart Mistakes'!$A$48</c:f>
              <c:strCache>
                <c:ptCount val="1"/>
                <c:pt idx="0">
                  <c:v>Product B</c:v>
                </c:pt>
              </c:strCache>
            </c:strRef>
          </c:tx>
          <c:cat>
            <c:strRef>
              <c:f>'Chart Mistakes'!$B$46:$I$46</c:f>
              <c:strCache>
                <c:ptCount val="8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  <c:pt idx="5">
                  <c:v>Round 5</c:v>
                </c:pt>
                <c:pt idx="6">
                  <c:v>Round 6</c:v>
                </c:pt>
                <c:pt idx="7">
                  <c:v>Round 7</c:v>
                </c:pt>
              </c:strCache>
            </c:strRef>
          </c:cat>
          <c:val>
            <c:numRef>
              <c:f>'Chart Mistakes'!$B$48:$I$48</c:f>
              <c:numCache>
                <c:formatCode>General</c:formatCode>
                <c:ptCount val="8"/>
                <c:pt idx="0">
                  <c:v>300</c:v>
                </c:pt>
                <c:pt idx="1">
                  <c:v>350</c:v>
                </c:pt>
                <c:pt idx="2">
                  <c:v>450</c:v>
                </c:pt>
                <c:pt idx="3">
                  <c:v>100</c:v>
                </c:pt>
                <c:pt idx="4" formatCode="_(* #,##0_);_(* \(#,##0\);_(* &quot;-&quot;??_);_(@_)">
                  <c:v>1400</c:v>
                </c:pt>
                <c:pt idx="5" formatCode="_(* #,##0_);_(* \(#,##0\);_(* &quot;-&quot;??_);_(@_)">
                  <c:v>1500</c:v>
                </c:pt>
                <c:pt idx="6" formatCode="_(* #,##0_);_(* \(#,##0\);_(* &quot;-&quot;??_);_(@_)">
                  <c:v>1300</c:v>
                </c:pt>
                <c:pt idx="7" formatCode="_(* #,##0_);_(* \(#,##0\);_(* &quot;-&quot;??_);_(@_)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4F-9E44-8BBA-AF8E39CC8C88}"/>
            </c:ext>
          </c:extLst>
        </c:ser>
        <c:ser>
          <c:idx val="2"/>
          <c:order val="2"/>
          <c:tx>
            <c:strRef>
              <c:f>'Chart Mistakes'!$A$49</c:f>
              <c:strCache>
                <c:ptCount val="1"/>
                <c:pt idx="0">
                  <c:v>Product C</c:v>
                </c:pt>
              </c:strCache>
            </c:strRef>
          </c:tx>
          <c:cat>
            <c:strRef>
              <c:f>'Chart Mistakes'!$B$46:$I$46</c:f>
              <c:strCache>
                <c:ptCount val="8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  <c:pt idx="5">
                  <c:v>Round 5</c:v>
                </c:pt>
                <c:pt idx="6">
                  <c:v>Round 6</c:v>
                </c:pt>
                <c:pt idx="7">
                  <c:v>Round 7</c:v>
                </c:pt>
              </c:strCache>
            </c:strRef>
          </c:cat>
          <c:val>
            <c:numRef>
              <c:f>'Chart Mistakes'!$B$49:$I$49</c:f>
              <c:numCache>
                <c:formatCode>General</c:formatCode>
                <c:ptCount val="8"/>
                <c:pt idx="0">
                  <c:v>300</c:v>
                </c:pt>
                <c:pt idx="1">
                  <c:v>350</c:v>
                </c:pt>
                <c:pt idx="2">
                  <c:v>300</c:v>
                </c:pt>
                <c:pt idx="3">
                  <c:v>350</c:v>
                </c:pt>
                <c:pt idx="4">
                  <c:v>300</c:v>
                </c:pt>
                <c:pt idx="5">
                  <c:v>350</c:v>
                </c:pt>
                <c:pt idx="6">
                  <c:v>300</c:v>
                </c:pt>
                <c:pt idx="7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4F-9E44-8BBA-AF8E39CC8C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10761088"/>
        <c:axId val="-2082987504"/>
      </c:areaChart>
      <c:catAx>
        <c:axId val="-21107610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82987504"/>
        <c:crosses val="autoZero"/>
        <c:auto val="1"/>
        <c:lblAlgn val="ctr"/>
        <c:lblOffset val="100"/>
        <c:noMultiLvlLbl val="0"/>
      </c:catAx>
      <c:valAx>
        <c:axId val="-208298750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-2110761088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1" l="0.75" r="0.75" t="1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overlay val="0"/>
    </c:title>
    <c:autoTitleDeleted val="0"/>
    <c:view3D>
      <c:rotX val="74"/>
      <c:rotY val="6"/>
      <c:rAngAx val="0"/>
      <c:perspective val="20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'Chart Mistakes'!$B$67</c:f>
              <c:strCache>
                <c:ptCount val="1"/>
                <c:pt idx="0">
                  <c:v>Round 0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/>
          </c:spPr>
          <c:explosion val="25"/>
          <c:cat>
            <c:strRef>
              <c:f>'Chart Mistakes'!$A$68:$A$70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'Chart Mistakes'!$B$68:$B$70</c:f>
              <c:numCache>
                <c:formatCode>General</c:formatCode>
                <c:ptCount val="3"/>
                <c:pt idx="0" formatCode="_(* #,##0_);_(* \(#,##0\);_(* &quot;-&quot;??_);_(@_)">
                  <c:v>800</c:v>
                </c:pt>
                <c:pt idx="1">
                  <c:v>300</c:v>
                </c:pt>
                <c:pt idx="2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CB-D046-B31A-7B82149A4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'Chart Mistakes'!$A$86</c:f>
              <c:strCache>
                <c:ptCount val="1"/>
                <c:pt idx="0">
                  <c:v>Product A</c:v>
                </c:pt>
              </c:strCache>
            </c:strRef>
          </c:tx>
          <c:marker>
            <c:symbol val="none"/>
          </c:marker>
          <c:cat>
            <c:strRef>
              <c:f>'Chart Mistakes'!$B$85:$I$85</c:f>
              <c:strCache>
                <c:ptCount val="8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  <c:pt idx="5">
                  <c:v>Round 5</c:v>
                </c:pt>
                <c:pt idx="6">
                  <c:v>Round 6</c:v>
                </c:pt>
                <c:pt idx="7">
                  <c:v>Round 7</c:v>
                </c:pt>
              </c:strCache>
            </c:strRef>
          </c:cat>
          <c:val>
            <c:numRef>
              <c:f>'Chart Mistakes'!$B$86:$I$86</c:f>
              <c:numCache>
                <c:formatCode>_(* #,##0_);_(* \(#,##0\);_(* "-"??_);_(@_)</c:formatCode>
                <c:ptCount val="8"/>
                <c:pt idx="0">
                  <c:v>800</c:v>
                </c:pt>
                <c:pt idx="1">
                  <c:v>800</c:v>
                </c:pt>
                <c:pt idx="2">
                  <c:v>200</c:v>
                </c:pt>
                <c:pt idx="3">
                  <c:v>1400</c:v>
                </c:pt>
                <c:pt idx="4">
                  <c:v>1500</c:v>
                </c:pt>
                <c:pt idx="5" formatCode="General">
                  <c:v>300</c:v>
                </c:pt>
                <c:pt idx="6" formatCode="General">
                  <c:v>350</c:v>
                </c:pt>
                <c:pt idx="7">
                  <c:v>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E7-4045-A655-F012FE85D652}"/>
            </c:ext>
          </c:extLst>
        </c:ser>
        <c:ser>
          <c:idx val="1"/>
          <c:order val="1"/>
          <c:tx>
            <c:strRef>
              <c:f>'Chart Mistakes'!$A$87</c:f>
              <c:strCache>
                <c:ptCount val="1"/>
                <c:pt idx="0">
                  <c:v>Product B</c:v>
                </c:pt>
              </c:strCache>
            </c:strRef>
          </c:tx>
          <c:marker>
            <c:symbol val="none"/>
          </c:marker>
          <c:cat>
            <c:strRef>
              <c:f>'Chart Mistakes'!$B$85:$I$85</c:f>
              <c:strCache>
                <c:ptCount val="8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  <c:pt idx="5">
                  <c:v>Round 5</c:v>
                </c:pt>
                <c:pt idx="6">
                  <c:v>Round 6</c:v>
                </c:pt>
                <c:pt idx="7">
                  <c:v>Round 7</c:v>
                </c:pt>
              </c:strCache>
            </c:strRef>
          </c:cat>
          <c:val>
            <c:numRef>
              <c:f>'Chart Mistakes'!$B$87:$I$87</c:f>
              <c:numCache>
                <c:formatCode>General</c:formatCode>
                <c:ptCount val="8"/>
                <c:pt idx="0">
                  <c:v>300</c:v>
                </c:pt>
                <c:pt idx="1">
                  <c:v>350</c:v>
                </c:pt>
                <c:pt idx="2">
                  <c:v>-100</c:v>
                </c:pt>
                <c:pt idx="3">
                  <c:v>100</c:v>
                </c:pt>
                <c:pt idx="4" formatCode="_(* #,##0_);_(* \(#,##0\);_(* &quot;-&quot;??_);_(@_)">
                  <c:v>1400</c:v>
                </c:pt>
                <c:pt idx="5" formatCode="_(* #,##0_);_(* \(#,##0\);_(* &quot;-&quot;??_);_(@_)">
                  <c:v>500</c:v>
                </c:pt>
                <c:pt idx="6" formatCode="_(* #,##0_);_(* \(#,##0\);_(* &quot;-&quot;??_);_(@_)">
                  <c:v>1300</c:v>
                </c:pt>
                <c:pt idx="7" formatCode="_(* #,##0_);_(* \(#,##0\);_(* &quot;-&quot;??_);_(@_)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E7-4045-A655-F012FE85D652}"/>
            </c:ext>
          </c:extLst>
        </c:ser>
        <c:ser>
          <c:idx val="2"/>
          <c:order val="2"/>
          <c:tx>
            <c:strRef>
              <c:f>'Chart Mistakes'!#REF!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strRef>
              <c:f>'Chart Mistakes'!$B$85:$I$85</c:f>
              <c:strCache>
                <c:ptCount val="8"/>
                <c:pt idx="0">
                  <c:v>Round 0</c:v>
                </c:pt>
                <c:pt idx="1">
                  <c:v>Round 1</c:v>
                </c:pt>
                <c:pt idx="2">
                  <c:v>Round 2</c:v>
                </c:pt>
                <c:pt idx="3">
                  <c:v>Round 3</c:v>
                </c:pt>
                <c:pt idx="4">
                  <c:v>Round 4</c:v>
                </c:pt>
                <c:pt idx="5">
                  <c:v>Round 5</c:v>
                </c:pt>
                <c:pt idx="6">
                  <c:v>Round 6</c:v>
                </c:pt>
                <c:pt idx="7">
                  <c:v>Round 7</c:v>
                </c:pt>
              </c:strCache>
            </c:strRef>
          </c:cat>
          <c:val>
            <c:numRef>
              <c:f>'Chart Mistakes'!#REF!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E7-4045-A655-F012FE85D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03185584"/>
        <c:axId val="-2091735264"/>
      </c:lineChart>
      <c:catAx>
        <c:axId val="-21031855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-2091735264"/>
        <c:crosses val="autoZero"/>
        <c:auto val="1"/>
        <c:lblAlgn val="ctr"/>
        <c:lblOffset val="100"/>
        <c:noMultiLvlLbl val="0"/>
      </c:catAx>
      <c:valAx>
        <c:axId val="-209173526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-2103185584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1" l="0.75" r="0.75" t="1" header="0.5" footer="0.5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12" Type="http://schemas.openxmlformats.org/officeDocument/2006/relationships/chart" Target="../charts/chart18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11" Type="http://schemas.openxmlformats.org/officeDocument/2006/relationships/chart" Target="../charts/chart17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gif"/><Relationship Id="rId7" Type="http://schemas.openxmlformats.org/officeDocument/2006/relationships/image" Target="../media/image9.jpg"/><Relationship Id="rId2" Type="http://schemas.openxmlformats.org/officeDocument/2006/relationships/image" Target="../media/image4.jpg"/><Relationship Id="rId1" Type="http://schemas.openxmlformats.org/officeDocument/2006/relationships/image" Target="../media/image3.jpg"/><Relationship Id="rId6" Type="http://schemas.openxmlformats.org/officeDocument/2006/relationships/image" Target="../media/image8.jpg"/><Relationship Id="rId5" Type="http://schemas.openxmlformats.org/officeDocument/2006/relationships/image" Target="../media/image7.jpg"/><Relationship Id="rId4" Type="http://schemas.openxmlformats.org/officeDocument/2006/relationships/image" Target="../media/image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69850</xdr:colOff>
      <xdr:row>11</xdr:row>
      <xdr:rowOff>25400</xdr:rowOff>
    </xdr:from>
    <xdr:to>
      <xdr:col>6</xdr:col>
      <xdr:colOff>514350</xdr:colOff>
      <xdr:row>24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184150</xdr:colOff>
      <xdr:row>11</xdr:row>
      <xdr:rowOff>38100</xdr:rowOff>
    </xdr:from>
    <xdr:to>
      <xdr:col>12</xdr:col>
      <xdr:colOff>628650</xdr:colOff>
      <xdr:row>24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361950</xdr:colOff>
      <xdr:row>11</xdr:row>
      <xdr:rowOff>25400</xdr:rowOff>
    </xdr:from>
    <xdr:to>
      <xdr:col>18</xdr:col>
      <xdr:colOff>806450</xdr:colOff>
      <xdr:row>24</xdr:row>
      <xdr:rowOff>127000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95250</xdr:colOff>
      <xdr:row>26</xdr:row>
      <xdr:rowOff>0</xdr:rowOff>
    </xdr:from>
    <xdr:to>
      <xdr:col>6</xdr:col>
      <xdr:colOff>539750</xdr:colOff>
      <xdr:row>39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260350</xdr:colOff>
      <xdr:row>25</xdr:row>
      <xdr:rowOff>127000</xdr:rowOff>
    </xdr:from>
    <xdr:to>
      <xdr:col>12</xdr:col>
      <xdr:colOff>704850</xdr:colOff>
      <xdr:row>39</xdr:row>
      <xdr:rowOff>25400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336550</xdr:colOff>
      <xdr:row>25</xdr:row>
      <xdr:rowOff>101600</xdr:rowOff>
    </xdr:from>
    <xdr:to>
      <xdr:col>18</xdr:col>
      <xdr:colOff>781050</xdr:colOff>
      <xdr:row>39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13</xdr:row>
      <xdr:rowOff>133350</xdr:rowOff>
    </xdr:from>
    <xdr:to>
      <xdr:col>5</xdr:col>
      <xdr:colOff>730250</xdr:colOff>
      <xdr:row>27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3099DB-1446-224E-B94E-E44D12C2D4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292100</xdr:colOff>
      <xdr:row>28</xdr:row>
      <xdr:rowOff>38100</xdr:rowOff>
    </xdr:from>
    <xdr:to>
      <xdr:col>5</xdr:col>
      <xdr:colOff>736600</xdr:colOff>
      <xdr:row>41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F1DF83-86DC-8C4F-AFB9-51E89E6A6C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152400</xdr:colOff>
      <xdr:row>14</xdr:row>
      <xdr:rowOff>50800</xdr:rowOff>
    </xdr:from>
    <xdr:to>
      <xdr:col>11</xdr:col>
      <xdr:colOff>596900</xdr:colOff>
      <xdr:row>27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84CDA9E-3768-FF42-9EAA-266AD5A744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158750</xdr:colOff>
      <xdr:row>28</xdr:row>
      <xdr:rowOff>158750</xdr:rowOff>
    </xdr:from>
    <xdr:to>
      <xdr:col>11</xdr:col>
      <xdr:colOff>603250</xdr:colOff>
      <xdr:row>42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95E3C0-F4C7-C64D-B65C-BC2DF26797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254000</xdr:colOff>
      <xdr:row>14</xdr:row>
      <xdr:rowOff>50800</xdr:rowOff>
    </xdr:from>
    <xdr:to>
      <xdr:col>17</xdr:col>
      <xdr:colOff>698500</xdr:colOff>
      <xdr:row>27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1E036A-4401-F343-AA43-FCC3D2D790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260350</xdr:colOff>
      <xdr:row>28</xdr:row>
      <xdr:rowOff>158750</xdr:rowOff>
    </xdr:from>
    <xdr:to>
      <xdr:col>17</xdr:col>
      <xdr:colOff>704850</xdr:colOff>
      <xdr:row>42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AD5DDC-B29B-EE4D-BF05-E91C8CCEF6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304800</xdr:colOff>
      <xdr:row>43</xdr:row>
      <xdr:rowOff>190500</xdr:rowOff>
    </xdr:from>
    <xdr:to>
      <xdr:col>5</xdr:col>
      <xdr:colOff>749300</xdr:colOff>
      <xdr:row>57</xdr:row>
      <xdr:rowOff>88900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AF17FBC-C926-8E4D-914A-2AC4E07DF1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311150</xdr:colOff>
      <xdr:row>58</xdr:row>
      <xdr:rowOff>95250</xdr:rowOff>
    </xdr:from>
    <xdr:to>
      <xdr:col>5</xdr:col>
      <xdr:colOff>755650</xdr:colOff>
      <xdr:row>71</xdr:row>
      <xdr:rowOff>196850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5881525-B3B5-DF42-90CD-8A5B311A8F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171450</xdr:colOff>
      <xdr:row>44</xdr:row>
      <xdr:rowOff>107950</xdr:rowOff>
    </xdr:from>
    <xdr:to>
      <xdr:col>11</xdr:col>
      <xdr:colOff>615950</xdr:colOff>
      <xdr:row>58</xdr:row>
      <xdr:rowOff>6350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73D5E12-3F7A-F347-B7A6-795B7B6DB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177800</xdr:colOff>
      <xdr:row>59</xdr:row>
      <xdr:rowOff>12700</xdr:rowOff>
    </xdr:from>
    <xdr:to>
      <xdr:col>11</xdr:col>
      <xdr:colOff>622300</xdr:colOff>
      <xdr:row>72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DCEC3CF-9CF2-DB49-8660-D5504F317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273050</xdr:colOff>
      <xdr:row>44</xdr:row>
      <xdr:rowOff>107950</xdr:rowOff>
    </xdr:from>
    <xdr:to>
      <xdr:col>17</xdr:col>
      <xdr:colOff>717550</xdr:colOff>
      <xdr:row>58</xdr:row>
      <xdr:rowOff>6350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9D12CE6-8DAD-9845-90AC-05907CAFC0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12</xdr:col>
      <xdr:colOff>279400</xdr:colOff>
      <xdr:row>59</xdr:row>
      <xdr:rowOff>12700</xdr:rowOff>
    </xdr:from>
    <xdr:to>
      <xdr:col>17</xdr:col>
      <xdr:colOff>723900</xdr:colOff>
      <xdr:row>72</xdr:row>
      <xdr:rowOff>114300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8890E844-4E4F-7B4D-A7B5-B501E86F9C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450850</xdr:colOff>
      <xdr:row>16</xdr:row>
      <xdr:rowOff>45237</xdr:rowOff>
    </xdr:from>
    <xdr:to>
      <xdr:col>8</xdr:col>
      <xdr:colOff>808182</xdr:colOff>
      <xdr:row>41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99500</xdr:colOff>
      <xdr:row>21</xdr:row>
      <xdr:rowOff>16776</xdr:rowOff>
    </xdr:from>
    <xdr:to>
      <xdr:col>5</xdr:col>
      <xdr:colOff>587295</xdr:colOff>
      <xdr:row>25</xdr:row>
      <xdr:rowOff>65138</xdr:rowOff>
    </xdr:to>
    <xdr:sp macro="" textlink="">
      <xdr:nvSpPr>
        <xdr:cNvPr id="3" name="Left Arrow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 rot="20074680">
          <a:off x="2618508" y="4404049"/>
          <a:ext cx="2167134" cy="846048"/>
        </a:xfrm>
        <a:prstGeom prst="leftArrow">
          <a:avLst/>
        </a:prstGeom>
        <a:solidFill>
          <a:schemeClr val="tx1"/>
        </a:solidFill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>
              <a:solidFill>
                <a:schemeClr val="bg1"/>
              </a:solidFill>
            </a:rPr>
            <a:t>Best round!</a:t>
          </a:r>
        </a:p>
      </xdr:txBody>
    </xdr:sp>
    <xdr:clientData/>
  </xdr:twoCellAnchor>
  <xdr:twoCellAnchor>
    <xdr:from>
      <xdr:col>0</xdr:col>
      <xdr:colOff>427181</xdr:colOff>
      <xdr:row>52</xdr:row>
      <xdr:rowOff>13855</xdr:rowOff>
    </xdr:from>
    <xdr:to>
      <xdr:col>10</xdr:col>
      <xdr:colOff>692727</xdr:colOff>
      <xdr:row>75</xdr:row>
      <xdr:rowOff>94461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262396</xdr:colOff>
      <xdr:row>55</xdr:row>
      <xdr:rowOff>146942</xdr:rowOff>
    </xdr:from>
    <xdr:to>
      <xdr:col>7</xdr:col>
      <xdr:colOff>776694</xdr:colOff>
      <xdr:row>75</xdr:row>
      <xdr:rowOff>62975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4460743" y="11314545"/>
          <a:ext cx="2193637" cy="3904463"/>
        </a:xfrm>
        <a:prstGeom prst="rect">
          <a:avLst/>
        </a:prstGeom>
        <a:noFill/>
        <a:ln w="57150">
          <a:solidFill>
            <a:schemeClr val="accent4">
              <a:lumMod val="75000"/>
            </a:schemeClr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508000</xdr:colOff>
      <xdr:row>85</xdr:row>
      <xdr:rowOff>177800</xdr:rowOff>
    </xdr:from>
    <xdr:to>
      <xdr:col>18</xdr:col>
      <xdr:colOff>101600</xdr:colOff>
      <xdr:row>101</xdr:row>
      <xdr:rowOff>165100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55DFA3A-A1D6-724A-B089-B7554390F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000" y="1397000"/>
          <a:ext cx="14681200" cy="3238500"/>
        </a:xfrm>
        <a:prstGeom prst="rect">
          <a:avLst/>
        </a:prstGeom>
      </xdr:spPr>
    </xdr:pic>
    <xdr:clientData/>
  </xdr:twoCellAnchor>
  <xdr:twoCellAnchor editAs="oneCell">
    <xdr:from>
      <xdr:col>0</xdr:col>
      <xdr:colOff>203200</xdr:colOff>
      <xdr:row>108</xdr:row>
      <xdr:rowOff>76200</xdr:rowOff>
    </xdr:from>
    <xdr:to>
      <xdr:col>17</xdr:col>
      <xdr:colOff>558800</xdr:colOff>
      <xdr:row>126</xdr:row>
      <xdr:rowOff>63500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809DA39-623C-4C47-A424-053FDEC1D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3200" y="5969000"/>
          <a:ext cx="14605000" cy="3644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673100</xdr:colOff>
      <xdr:row>7</xdr:row>
      <xdr:rowOff>165100</xdr:rowOff>
    </xdr:from>
    <xdr:to>
      <xdr:col>6</xdr:col>
      <xdr:colOff>596900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482600</xdr:colOff>
      <xdr:row>27</xdr:row>
      <xdr:rowOff>152400</xdr:rowOff>
    </xdr:from>
    <xdr:to>
      <xdr:col>7</xdr:col>
      <xdr:colOff>787400</xdr:colOff>
      <xdr:row>42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787400</xdr:colOff>
      <xdr:row>49</xdr:row>
      <xdr:rowOff>165100</xdr:rowOff>
    </xdr:from>
    <xdr:to>
      <xdr:col>8</xdr:col>
      <xdr:colOff>266700</xdr:colOff>
      <xdr:row>64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330200</xdr:colOff>
      <xdr:row>66</xdr:row>
      <xdr:rowOff>88900</xdr:rowOff>
    </xdr:from>
    <xdr:to>
      <xdr:col>7</xdr:col>
      <xdr:colOff>774700</xdr:colOff>
      <xdr:row>80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431800</xdr:colOff>
      <xdr:row>88</xdr:row>
      <xdr:rowOff>88900</xdr:rowOff>
    </xdr:from>
    <xdr:to>
      <xdr:col>7</xdr:col>
      <xdr:colOff>50800</xdr:colOff>
      <xdr:row>102</xdr:row>
      <xdr:rowOff>165100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558057</xdr:colOff>
      <xdr:row>6</xdr:row>
      <xdr:rowOff>720</xdr:rowOff>
    </xdr:from>
    <xdr:to>
      <xdr:col>7</xdr:col>
      <xdr:colOff>677333</xdr:colOff>
      <xdr:row>27</xdr:row>
      <xdr:rowOff>165506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F82DC4-748D-9F49-80AD-C61A635B1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8057" y="1242498"/>
          <a:ext cx="5914239" cy="4511008"/>
        </a:xfrm>
        <a:prstGeom prst="rect">
          <a:avLst/>
        </a:prstGeom>
      </xdr:spPr>
    </xdr:pic>
    <xdr:clientData/>
  </xdr:twoCellAnchor>
  <xdr:twoCellAnchor editAs="oneCell">
    <xdr:from>
      <xdr:col>0</xdr:col>
      <xdr:colOff>660185</xdr:colOff>
      <xdr:row>53</xdr:row>
      <xdr:rowOff>96649</xdr:rowOff>
    </xdr:from>
    <xdr:to>
      <xdr:col>11</xdr:col>
      <xdr:colOff>248619</xdr:colOff>
      <xdr:row>73</xdr:row>
      <xdr:rowOff>7749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4FC518-9D26-5047-8989-1B71194D7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0185" y="10364276"/>
          <a:ext cx="8586061" cy="3785676"/>
        </a:xfrm>
        <a:prstGeom prst="rect">
          <a:avLst/>
        </a:prstGeom>
      </xdr:spPr>
    </xdr:pic>
    <xdr:clientData/>
  </xdr:twoCellAnchor>
  <xdr:twoCellAnchor editAs="oneCell">
    <xdr:from>
      <xdr:col>1</xdr:col>
      <xdr:colOff>387457</xdr:colOff>
      <xdr:row>32</xdr:row>
      <xdr:rowOff>86102</xdr:rowOff>
    </xdr:from>
    <xdr:to>
      <xdr:col>8</xdr:col>
      <xdr:colOff>224294</xdr:colOff>
      <xdr:row>49</xdr:row>
      <xdr:rowOff>56612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93883E-F33B-1D4A-82C2-BC3279430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5423" y="6285424"/>
          <a:ext cx="5562600" cy="3263900"/>
        </a:xfrm>
        <a:prstGeom prst="rect">
          <a:avLst/>
        </a:prstGeom>
      </xdr:spPr>
    </xdr:pic>
    <xdr:clientData/>
  </xdr:twoCellAnchor>
  <xdr:twoCellAnchor editAs="oneCell">
    <xdr:from>
      <xdr:col>1</xdr:col>
      <xdr:colOff>774914</xdr:colOff>
      <xdr:row>77</xdr:row>
      <xdr:rowOff>150677</xdr:rowOff>
    </xdr:from>
    <xdr:to>
      <xdr:col>11</xdr:col>
      <xdr:colOff>214826</xdr:colOff>
      <xdr:row>89</xdr:row>
      <xdr:rowOff>172203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8AA4654-A714-944B-B3A0-CA8CF4E4B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2880" y="15067796"/>
          <a:ext cx="7619573" cy="2346271"/>
        </a:xfrm>
        <a:prstGeom prst="rect">
          <a:avLst/>
        </a:prstGeom>
      </xdr:spPr>
    </xdr:pic>
    <xdr:clientData/>
  </xdr:twoCellAnchor>
  <xdr:twoCellAnchor editAs="oneCell">
    <xdr:from>
      <xdr:col>1</xdr:col>
      <xdr:colOff>495085</xdr:colOff>
      <xdr:row>117</xdr:row>
      <xdr:rowOff>129153</xdr:rowOff>
    </xdr:from>
    <xdr:to>
      <xdr:col>6</xdr:col>
      <xdr:colOff>25229</xdr:colOff>
      <xdr:row>138</xdr:row>
      <xdr:rowOff>21526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B88338D-3EE0-3B45-BD19-C881B54B2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13051" y="22795424"/>
          <a:ext cx="3619975" cy="3960678"/>
        </a:xfrm>
        <a:prstGeom prst="rect">
          <a:avLst/>
        </a:prstGeom>
      </xdr:spPr>
    </xdr:pic>
    <xdr:clientData/>
  </xdr:twoCellAnchor>
  <xdr:twoCellAnchor editAs="oneCell">
    <xdr:from>
      <xdr:col>1</xdr:col>
      <xdr:colOff>559661</xdr:colOff>
      <xdr:row>92</xdr:row>
      <xdr:rowOff>129151</xdr:rowOff>
    </xdr:from>
    <xdr:to>
      <xdr:col>6</xdr:col>
      <xdr:colOff>129151</xdr:colOff>
      <xdr:row>115</xdr:row>
      <xdr:rowOff>64573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D31B866-7102-AF40-A5C9-280380687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77627" y="17952202"/>
          <a:ext cx="3659321" cy="4391185"/>
        </a:xfrm>
        <a:prstGeom prst="rect">
          <a:avLst/>
        </a:prstGeom>
      </xdr:spPr>
    </xdr:pic>
    <xdr:clientData/>
  </xdr:twoCellAnchor>
  <xdr:twoCellAnchor editAs="oneCell">
    <xdr:from>
      <xdr:col>1</xdr:col>
      <xdr:colOff>603940</xdr:colOff>
      <xdr:row>140</xdr:row>
      <xdr:rowOff>193727</xdr:rowOff>
    </xdr:from>
    <xdr:to>
      <xdr:col>11</xdr:col>
      <xdr:colOff>1231</xdr:colOff>
      <xdr:row>164</xdr:row>
      <xdr:rowOff>21526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A634009-05D8-4D4B-BE84-E93586F6A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21906" y="27315761"/>
          <a:ext cx="7576952" cy="44772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56089-04CF-C644-8C2F-B52FF78B5A66}">
  <dimension ref="A1:D2"/>
  <sheetViews>
    <sheetView tabSelected="1" workbookViewId="0">
      <selection sqref="A1:D1"/>
    </sheetView>
  </sheetViews>
  <sheetFormatPr defaultColWidth="11" defaultRowHeight="15.75" x14ac:dyDescent="0.25"/>
  <sheetData>
    <row r="1" spans="1:4" ht="39.950000000000003" customHeight="1" x14ac:dyDescent="0.25">
      <c r="A1" s="21" t="s">
        <v>24</v>
      </c>
      <c r="B1" s="21"/>
      <c r="C1" s="21"/>
      <c r="D1" s="21"/>
    </row>
    <row r="2" spans="1:4" s="10" customFormat="1" ht="21" x14ac:dyDescent="0.25">
      <c r="A2" s="22" t="s">
        <v>57</v>
      </c>
      <c r="B2" s="22"/>
      <c r="C2" s="22"/>
      <c r="D2" s="22"/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zoomScale="93" zoomScaleNormal="93" workbookViewId="0">
      <selection activeCell="A48" sqref="A48"/>
    </sheetView>
  </sheetViews>
  <sheetFormatPr defaultColWidth="11" defaultRowHeight="15.75" x14ac:dyDescent="0.25"/>
  <sheetData>
    <row r="1" spans="1:6" ht="31.5" x14ac:dyDescent="0.5">
      <c r="A1" s="5" t="s">
        <v>27</v>
      </c>
    </row>
    <row r="4" spans="1:6" x14ac:dyDescent="0.25">
      <c r="A4" t="s">
        <v>5</v>
      </c>
    </row>
    <row r="6" spans="1:6" x14ac:dyDescent="0.25">
      <c r="B6" t="s">
        <v>6</v>
      </c>
      <c r="C6" t="s">
        <v>7</v>
      </c>
      <c r="D6" t="s">
        <v>8</v>
      </c>
      <c r="E6" t="s">
        <v>9</v>
      </c>
    </row>
    <row r="7" spans="1:6" x14ac:dyDescent="0.25">
      <c r="A7" t="s">
        <v>17</v>
      </c>
      <c r="B7" s="6">
        <v>50</v>
      </c>
      <c r="C7" s="6">
        <v>90</v>
      </c>
      <c r="D7" s="6">
        <v>125</v>
      </c>
      <c r="E7" s="6">
        <v>190</v>
      </c>
      <c r="F7" s="11">
        <f>SUM(B7:E7)</f>
        <v>455</v>
      </c>
    </row>
    <row r="8" spans="1:6" x14ac:dyDescent="0.25">
      <c r="A8" t="s">
        <v>18</v>
      </c>
      <c r="B8" s="6">
        <v>200</v>
      </c>
      <c r="C8" s="6">
        <v>190</v>
      </c>
      <c r="D8" s="6">
        <v>90</v>
      </c>
      <c r="E8" s="6">
        <v>55</v>
      </c>
      <c r="F8" s="11">
        <f>SUM(B8:E8)</f>
        <v>535</v>
      </c>
    </row>
    <row r="9" spans="1:6" x14ac:dyDescent="0.25">
      <c r="A9" t="s">
        <v>19</v>
      </c>
      <c r="B9" s="6">
        <v>50</v>
      </c>
      <c r="C9" s="6">
        <v>240</v>
      </c>
      <c r="D9" s="6">
        <v>80</v>
      </c>
      <c r="E9" s="6">
        <v>175</v>
      </c>
      <c r="F9" s="11">
        <f>SUM(B9:E9)</f>
        <v>545</v>
      </c>
    </row>
    <row r="10" spans="1:6" ht="16.5" thickBot="1" x14ac:dyDescent="0.3">
      <c r="A10" s="8" t="s">
        <v>20</v>
      </c>
      <c r="B10" s="9">
        <f t="shared" ref="B10:E10" si="0">SUM(B7:B9)</f>
        <v>300</v>
      </c>
      <c r="C10" s="9">
        <f t="shared" si="0"/>
        <v>520</v>
      </c>
      <c r="D10" s="9">
        <f t="shared" si="0"/>
        <v>295</v>
      </c>
      <c r="E10" s="9">
        <f t="shared" si="0"/>
        <v>420</v>
      </c>
    </row>
    <row r="11" spans="1:6" ht="16.5" thickTop="1" x14ac:dyDescent="0.25"/>
    <row r="24" spans="1:1" x14ac:dyDescent="0.25">
      <c r="A24" t="s">
        <v>56</v>
      </c>
    </row>
    <row r="45" spans="1:6" x14ac:dyDescent="0.25">
      <c r="A45" t="s">
        <v>23</v>
      </c>
    </row>
    <row r="47" spans="1:6" x14ac:dyDescent="0.25">
      <c r="A47" t="s">
        <v>52</v>
      </c>
      <c r="B47" t="s">
        <v>25</v>
      </c>
      <c r="C47" t="s">
        <v>21</v>
      </c>
      <c r="D47" t="s">
        <v>22</v>
      </c>
      <c r="E47" s="14" t="s">
        <v>26</v>
      </c>
    </row>
    <row r="48" spans="1:6" x14ac:dyDescent="0.25">
      <c r="A48">
        <v>2001</v>
      </c>
      <c r="B48" s="7">
        <v>100</v>
      </c>
      <c r="C48" s="7">
        <v>0</v>
      </c>
      <c r="D48" s="7">
        <v>10</v>
      </c>
      <c r="E48" s="15">
        <f>SUM(B48:D48)</f>
        <v>110</v>
      </c>
      <c r="F48" s="7"/>
    </row>
    <row r="49" spans="1:6" x14ac:dyDescent="0.25">
      <c r="A49">
        <v>2002</v>
      </c>
      <c r="B49" s="7">
        <v>90</v>
      </c>
      <c r="C49" s="7">
        <v>50</v>
      </c>
      <c r="D49" s="7">
        <v>20</v>
      </c>
      <c r="E49" s="15">
        <f t="shared" ref="E49:E52" si="1">SUM(B49:D49)</f>
        <v>160</v>
      </c>
      <c r="F49" s="7"/>
    </row>
    <row r="50" spans="1:6" x14ac:dyDescent="0.25">
      <c r="A50">
        <v>2003</v>
      </c>
      <c r="B50" s="7">
        <v>110</v>
      </c>
      <c r="C50" s="7">
        <v>80</v>
      </c>
      <c r="D50" s="7">
        <v>30</v>
      </c>
      <c r="E50" s="15">
        <f t="shared" si="1"/>
        <v>220</v>
      </c>
      <c r="F50" s="7"/>
    </row>
    <row r="51" spans="1:6" x14ac:dyDescent="0.25">
      <c r="A51">
        <v>2004</v>
      </c>
      <c r="B51" s="7">
        <v>125</v>
      </c>
      <c r="C51" s="7">
        <v>110</v>
      </c>
      <c r="D51" s="7">
        <v>44</v>
      </c>
      <c r="E51" s="15">
        <f t="shared" si="1"/>
        <v>279</v>
      </c>
    </row>
    <row r="52" spans="1:6" x14ac:dyDescent="0.25">
      <c r="A52">
        <v>2005</v>
      </c>
      <c r="B52" s="7">
        <v>110</v>
      </c>
      <c r="C52" s="7">
        <v>60</v>
      </c>
      <c r="D52" s="7">
        <v>40</v>
      </c>
      <c r="E52" s="15">
        <f t="shared" si="1"/>
        <v>210</v>
      </c>
    </row>
    <row r="53" spans="1:6" ht="16.5" thickBot="1" x14ac:dyDescent="0.3">
      <c r="A53" s="8" t="s">
        <v>26</v>
      </c>
      <c r="B53" s="12">
        <f>SUM(B48:B52)</f>
        <v>535</v>
      </c>
      <c r="C53" s="12">
        <f t="shared" ref="C53:D53" si="2">SUM(C48:C52)</f>
        <v>300</v>
      </c>
      <c r="D53" s="12">
        <f t="shared" si="2"/>
        <v>144</v>
      </c>
      <c r="E53" s="13"/>
    </row>
    <row r="54" spans="1:6" ht="16.5" thickTop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CFA56-6367-1344-8F80-CB14979E366C}">
  <dimension ref="A1:F11"/>
  <sheetViews>
    <sheetView workbookViewId="0"/>
  </sheetViews>
  <sheetFormatPr defaultColWidth="11" defaultRowHeight="15.75" x14ac:dyDescent="0.25"/>
  <sheetData>
    <row r="1" spans="1:6" ht="31.5" x14ac:dyDescent="0.5">
      <c r="A1" s="5" t="s">
        <v>28</v>
      </c>
    </row>
    <row r="4" spans="1:6" x14ac:dyDescent="0.25">
      <c r="A4" t="s">
        <v>5</v>
      </c>
    </row>
    <row r="6" spans="1:6" x14ac:dyDescent="0.25">
      <c r="B6" t="s">
        <v>6</v>
      </c>
      <c r="C6" t="s">
        <v>7</v>
      </c>
      <c r="D6" t="s">
        <v>8</v>
      </c>
      <c r="E6" t="s">
        <v>9</v>
      </c>
    </row>
    <row r="7" spans="1:6" x14ac:dyDescent="0.25">
      <c r="A7" t="s">
        <v>17</v>
      </c>
      <c r="B7" s="6">
        <v>50</v>
      </c>
      <c r="C7" s="6">
        <v>90</v>
      </c>
      <c r="D7" s="6">
        <v>125</v>
      </c>
      <c r="E7" s="6">
        <v>190</v>
      </c>
      <c r="F7" s="11">
        <f>SUM(B7:E7)</f>
        <v>455</v>
      </c>
    </row>
    <row r="8" spans="1:6" x14ac:dyDescent="0.25">
      <c r="A8" t="s">
        <v>18</v>
      </c>
      <c r="B8" s="6">
        <v>200</v>
      </c>
      <c r="C8" s="6">
        <v>190</v>
      </c>
      <c r="D8" s="6">
        <v>90</v>
      </c>
      <c r="E8" s="6">
        <v>55</v>
      </c>
      <c r="F8" s="11">
        <f>SUM(B8:E8)</f>
        <v>535</v>
      </c>
    </row>
    <row r="9" spans="1:6" x14ac:dyDescent="0.25">
      <c r="A9" t="s">
        <v>19</v>
      </c>
      <c r="B9" s="6">
        <v>50</v>
      </c>
      <c r="C9" s="6">
        <v>240</v>
      </c>
      <c r="D9" s="6">
        <v>80</v>
      </c>
      <c r="E9" s="6">
        <v>175</v>
      </c>
      <c r="F9" s="11">
        <f>SUM(B9:E9)</f>
        <v>545</v>
      </c>
    </row>
    <row r="10" spans="1:6" ht="16.5" thickBot="1" x14ac:dyDescent="0.3">
      <c r="A10" s="8" t="s">
        <v>20</v>
      </c>
      <c r="B10" s="9">
        <f t="shared" ref="B10:E10" si="0">SUM(B7:B9)</f>
        <v>300</v>
      </c>
      <c r="C10" s="9">
        <f t="shared" si="0"/>
        <v>520</v>
      </c>
      <c r="D10" s="9">
        <f t="shared" si="0"/>
        <v>295</v>
      </c>
      <c r="E10" s="9">
        <f t="shared" si="0"/>
        <v>420</v>
      </c>
    </row>
    <row r="11" spans="1:6" ht="16.5" thickTop="1" x14ac:dyDescent="0.25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8"/>
  <sheetViews>
    <sheetView zoomScale="121" zoomScaleNormal="121" zoomScalePageLayoutView="121" workbookViewId="0"/>
  </sheetViews>
  <sheetFormatPr defaultColWidth="11" defaultRowHeight="15.75" x14ac:dyDescent="0.25"/>
  <sheetData>
    <row r="1" spans="1:7" ht="31.5" x14ac:dyDescent="0.5">
      <c r="A1" s="5" t="s">
        <v>16</v>
      </c>
    </row>
    <row r="7" spans="1:7" x14ac:dyDescent="0.25">
      <c r="A7" t="s">
        <v>5</v>
      </c>
    </row>
    <row r="9" spans="1:7" x14ac:dyDescent="0.25">
      <c r="B9" t="s">
        <v>6</v>
      </c>
      <c r="C9" t="s">
        <v>7</v>
      </c>
      <c r="D9" t="s">
        <v>8</v>
      </c>
      <c r="E9" t="s">
        <v>9</v>
      </c>
    </row>
    <row r="10" spans="1:7" x14ac:dyDescent="0.25">
      <c r="A10" t="s">
        <v>10</v>
      </c>
      <c r="B10" s="6">
        <v>1799.9999999999989</v>
      </c>
      <c r="C10" s="6">
        <v>1574.9999999999995</v>
      </c>
      <c r="D10" s="6">
        <v>2000</v>
      </c>
      <c r="E10" s="6">
        <v>3000</v>
      </c>
      <c r="G10" s="6"/>
    </row>
    <row r="11" spans="1:7" x14ac:dyDescent="0.25">
      <c r="A11" t="s">
        <v>11</v>
      </c>
      <c r="B11" s="6">
        <v>0</v>
      </c>
      <c r="C11" s="6">
        <v>1200</v>
      </c>
      <c r="D11" s="6">
        <v>519.99999999999773</v>
      </c>
      <c r="E11" s="6">
        <v>204</v>
      </c>
    </row>
    <row r="12" spans="1:7" x14ac:dyDescent="0.25">
      <c r="A12" t="s">
        <v>12</v>
      </c>
      <c r="B12" s="6">
        <v>1875</v>
      </c>
      <c r="C12" s="6">
        <v>1800</v>
      </c>
      <c r="D12" s="6">
        <v>1937.5</v>
      </c>
      <c r="E12" s="6">
        <v>2010</v>
      </c>
    </row>
    <row r="13" spans="1:7" x14ac:dyDescent="0.25">
      <c r="A13" t="s">
        <v>13</v>
      </c>
      <c r="B13" s="6">
        <v>1799.9999999999989</v>
      </c>
      <c r="C13" s="6">
        <v>1800</v>
      </c>
      <c r="D13" s="6">
        <v>1547.4999999999989</v>
      </c>
      <c r="E13" s="6">
        <v>2043</v>
      </c>
    </row>
    <row r="14" spans="1:7" x14ac:dyDescent="0.25">
      <c r="A14" t="s">
        <v>14</v>
      </c>
      <c r="B14" s="6">
        <v>1800</v>
      </c>
      <c r="C14" s="6">
        <v>1631.9999999999993</v>
      </c>
      <c r="D14" s="6">
        <v>2174.0000000000009</v>
      </c>
      <c r="E14" s="6">
        <v>200</v>
      </c>
    </row>
    <row r="15" spans="1:7" x14ac:dyDescent="0.25">
      <c r="A15" t="s">
        <v>15</v>
      </c>
      <c r="B15" s="6">
        <v>1631.9999999999993</v>
      </c>
      <c r="C15" s="6">
        <v>1869.1200000000003</v>
      </c>
      <c r="D15" s="6">
        <v>1985.6000000000006</v>
      </c>
      <c r="E15" s="6">
        <v>10</v>
      </c>
    </row>
    <row r="44" spans="1:5" x14ac:dyDescent="0.25">
      <c r="B44" t="s">
        <v>6</v>
      </c>
      <c r="C44" t="s">
        <v>7</v>
      </c>
      <c r="D44" t="s">
        <v>8</v>
      </c>
      <c r="E44" t="s">
        <v>9</v>
      </c>
    </row>
    <row r="45" spans="1:5" x14ac:dyDescent="0.25">
      <c r="A45" t="s">
        <v>10</v>
      </c>
      <c r="B45" s="7">
        <v>6.5</v>
      </c>
      <c r="C45" s="7">
        <v>6.75</v>
      </c>
      <c r="D45" s="7">
        <v>6.25</v>
      </c>
      <c r="E45" s="7">
        <v>6.25</v>
      </c>
    </row>
    <row r="46" spans="1:5" x14ac:dyDescent="0.25">
      <c r="A46" t="s">
        <v>11</v>
      </c>
      <c r="B46" s="7">
        <v>5</v>
      </c>
      <c r="C46" s="7">
        <v>5.5</v>
      </c>
      <c r="D46" s="7">
        <v>6.5</v>
      </c>
      <c r="E46" s="7">
        <v>6.24</v>
      </c>
    </row>
    <row r="47" spans="1:5" x14ac:dyDescent="0.25">
      <c r="A47" t="s">
        <v>12</v>
      </c>
      <c r="B47" s="7">
        <v>6.25</v>
      </c>
      <c r="C47" s="7">
        <v>6</v>
      </c>
      <c r="D47" s="7">
        <v>6.25</v>
      </c>
      <c r="E47" s="7">
        <v>6.25</v>
      </c>
    </row>
    <row r="48" spans="1:5" x14ac:dyDescent="0.25">
      <c r="A48" t="s">
        <v>13</v>
      </c>
      <c r="B48" s="7">
        <v>6.5</v>
      </c>
      <c r="C48" s="7">
        <v>6</v>
      </c>
      <c r="D48" s="7">
        <v>6.75</v>
      </c>
      <c r="E48" s="7">
        <v>6.75</v>
      </c>
    </row>
    <row r="49" spans="1:5" x14ac:dyDescent="0.25">
      <c r="A49" t="s">
        <v>14</v>
      </c>
      <c r="B49" s="7">
        <v>6</v>
      </c>
      <c r="C49" s="7">
        <v>5.8</v>
      </c>
      <c r="D49" s="7">
        <v>5.9</v>
      </c>
      <c r="E49" s="7">
        <v>5.9</v>
      </c>
    </row>
    <row r="50" spans="1:5" x14ac:dyDescent="0.25">
      <c r="A50" t="s">
        <v>15</v>
      </c>
      <c r="B50" s="7">
        <v>6.7</v>
      </c>
      <c r="C50" s="7">
        <v>6.18</v>
      </c>
      <c r="D50" s="7">
        <v>6.35</v>
      </c>
      <c r="E50" s="7">
        <v>6.3</v>
      </c>
    </row>
    <row r="82" spans="1:9" x14ac:dyDescent="0.25">
      <c r="B82" t="str">
        <f>"Round "&amp;COLUMN(B82)-2</f>
        <v>Round 0</v>
      </c>
      <c r="C82" t="str">
        <f t="shared" ref="C82:I82" si="0">"Round "&amp;COLUMN(C82)-2</f>
        <v>Round 1</v>
      </c>
      <c r="D82" t="str">
        <f t="shared" si="0"/>
        <v>Round 2</v>
      </c>
      <c r="E82" t="str">
        <f t="shared" si="0"/>
        <v>Round 3</v>
      </c>
      <c r="F82" t="str">
        <f t="shared" si="0"/>
        <v>Round 4</v>
      </c>
      <c r="G82" t="str">
        <f t="shared" si="0"/>
        <v>Round 5</v>
      </c>
      <c r="H82" t="str">
        <f t="shared" si="0"/>
        <v>Round 6</v>
      </c>
      <c r="I82" t="str">
        <f t="shared" si="0"/>
        <v>Round 7</v>
      </c>
    </row>
    <row r="83" spans="1:9" x14ac:dyDescent="0.25">
      <c r="A83" t="s">
        <v>2</v>
      </c>
      <c r="B83" s="1">
        <v>800</v>
      </c>
      <c r="C83" s="1">
        <v>800</v>
      </c>
      <c r="D83" s="1">
        <v>600</v>
      </c>
      <c r="E83" s="1">
        <v>1400</v>
      </c>
      <c r="F83" s="1">
        <v>1500</v>
      </c>
      <c r="G83">
        <v>300</v>
      </c>
      <c r="H83">
        <v>350</v>
      </c>
      <c r="I83" s="1">
        <v>1000</v>
      </c>
    </row>
    <row r="84" spans="1:9" x14ac:dyDescent="0.25">
      <c r="A84" t="s">
        <v>3</v>
      </c>
      <c r="B84">
        <v>300</v>
      </c>
      <c r="C84">
        <v>350</v>
      </c>
      <c r="D84">
        <v>450</v>
      </c>
      <c r="E84">
        <v>100</v>
      </c>
      <c r="F84" s="1">
        <v>1400</v>
      </c>
      <c r="G84" s="1">
        <v>1500</v>
      </c>
      <c r="H84" s="1">
        <v>1300</v>
      </c>
      <c r="I84" s="1">
        <v>1200</v>
      </c>
    </row>
    <row r="85" spans="1:9" x14ac:dyDescent="0.25">
      <c r="A85" t="s">
        <v>4</v>
      </c>
      <c r="B85">
        <v>300</v>
      </c>
      <c r="C85">
        <v>350</v>
      </c>
      <c r="D85">
        <v>300</v>
      </c>
      <c r="E85">
        <v>350</v>
      </c>
      <c r="F85">
        <v>300</v>
      </c>
      <c r="G85">
        <v>350</v>
      </c>
      <c r="H85">
        <v>300</v>
      </c>
      <c r="I85">
        <v>350</v>
      </c>
    </row>
    <row r="105" spans="1:9" x14ac:dyDescent="0.25">
      <c r="B105" t="str">
        <f>"Round "&amp;COLUMN(B105)-2</f>
        <v>Round 0</v>
      </c>
      <c r="C105" t="str">
        <f t="shared" ref="C105:I105" si="1">"Round "&amp;COLUMN(C105)-2</f>
        <v>Round 1</v>
      </c>
      <c r="D105" t="str">
        <f t="shared" si="1"/>
        <v>Round 2</v>
      </c>
      <c r="E105" t="str">
        <f t="shared" si="1"/>
        <v>Round 3</v>
      </c>
      <c r="F105" t="str">
        <f t="shared" si="1"/>
        <v>Round 4</v>
      </c>
      <c r="G105" t="str">
        <f t="shared" si="1"/>
        <v>Round 5</v>
      </c>
      <c r="H105" t="str">
        <f t="shared" si="1"/>
        <v>Round 6</v>
      </c>
      <c r="I105" t="str">
        <f t="shared" si="1"/>
        <v>Round 7</v>
      </c>
    </row>
    <row r="106" spans="1:9" x14ac:dyDescent="0.25">
      <c r="A106" t="s">
        <v>2</v>
      </c>
      <c r="B106" s="1">
        <v>800</v>
      </c>
      <c r="C106" s="1">
        <v>800</v>
      </c>
      <c r="D106" s="1">
        <v>600</v>
      </c>
      <c r="E106" s="1">
        <v>1400</v>
      </c>
      <c r="F106" s="1">
        <v>1500</v>
      </c>
      <c r="G106">
        <v>300</v>
      </c>
      <c r="H106">
        <v>350</v>
      </c>
      <c r="I106" s="1">
        <v>1000</v>
      </c>
    </row>
    <row r="107" spans="1:9" x14ac:dyDescent="0.25">
      <c r="A107" t="s">
        <v>3</v>
      </c>
      <c r="B107">
        <v>300</v>
      </c>
      <c r="C107">
        <v>350</v>
      </c>
      <c r="D107">
        <v>450</v>
      </c>
      <c r="E107">
        <v>100</v>
      </c>
      <c r="F107" s="1">
        <v>1400</v>
      </c>
      <c r="G107" s="1">
        <v>1500</v>
      </c>
      <c r="H107" s="1">
        <v>1300</v>
      </c>
      <c r="I107" s="1">
        <v>1200</v>
      </c>
    </row>
    <row r="108" spans="1:9" x14ac:dyDescent="0.25">
      <c r="A108" t="s">
        <v>4</v>
      </c>
      <c r="B108">
        <v>300</v>
      </c>
      <c r="C108">
        <v>350</v>
      </c>
      <c r="D108">
        <v>300</v>
      </c>
      <c r="E108">
        <v>350</v>
      </c>
      <c r="F108">
        <v>300</v>
      </c>
      <c r="G108">
        <v>350</v>
      </c>
      <c r="H108">
        <v>300</v>
      </c>
      <c r="I108">
        <v>350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9"/>
  <sheetViews>
    <sheetView workbookViewId="0"/>
  </sheetViews>
  <sheetFormatPr defaultColWidth="11" defaultRowHeight="15.75" x14ac:dyDescent="0.25"/>
  <cols>
    <col min="1" max="1" width="19.875" customWidth="1"/>
  </cols>
  <sheetData>
    <row r="1" spans="1:9" x14ac:dyDescent="0.25">
      <c r="A1" t="s">
        <v>35</v>
      </c>
    </row>
    <row r="3" spans="1:9" x14ac:dyDescent="0.25">
      <c r="B3" t="str">
        <f>"Round "&amp;COLUMN(B3)-2</f>
        <v>Round 0</v>
      </c>
      <c r="C3" t="str">
        <f t="shared" ref="C3:I3" si="0">"Round "&amp;COLUMN(C3)-2</f>
        <v>Round 1</v>
      </c>
      <c r="D3" t="str">
        <f t="shared" si="0"/>
        <v>Round 2</v>
      </c>
      <c r="E3" t="str">
        <f t="shared" si="0"/>
        <v>Round 3</v>
      </c>
      <c r="F3" t="str">
        <f t="shared" si="0"/>
        <v>Round 4</v>
      </c>
      <c r="G3" t="str">
        <f t="shared" si="0"/>
        <v>Round 5</v>
      </c>
      <c r="H3" t="str">
        <f t="shared" si="0"/>
        <v>Round 6</v>
      </c>
      <c r="I3" t="str">
        <f t="shared" si="0"/>
        <v>Round 7</v>
      </c>
    </row>
    <row r="4" spans="1:9" x14ac:dyDescent="0.25">
      <c r="A4" t="s">
        <v>29</v>
      </c>
      <c r="B4" s="1">
        <v>800</v>
      </c>
      <c r="C4" s="1">
        <v>800</v>
      </c>
      <c r="D4" s="1">
        <v>600</v>
      </c>
      <c r="E4" s="1">
        <v>1400</v>
      </c>
      <c r="F4" s="1">
        <v>1500</v>
      </c>
      <c r="G4" s="1">
        <v>1300</v>
      </c>
      <c r="H4" s="1">
        <v>1200</v>
      </c>
      <c r="I4" s="1">
        <v>1000</v>
      </c>
    </row>
    <row r="5" spans="1:9" x14ac:dyDescent="0.25">
      <c r="A5" t="s">
        <v>31</v>
      </c>
      <c r="B5" s="1">
        <f>B4/2</f>
        <v>400</v>
      </c>
      <c r="C5" s="1">
        <f t="shared" ref="C5:I5" si="1">C4/2</f>
        <v>400</v>
      </c>
      <c r="D5" s="1">
        <f t="shared" si="1"/>
        <v>300</v>
      </c>
      <c r="E5" s="1">
        <f t="shared" si="1"/>
        <v>700</v>
      </c>
      <c r="F5" s="1">
        <f t="shared" si="1"/>
        <v>750</v>
      </c>
      <c r="G5" s="1">
        <f t="shared" si="1"/>
        <v>650</v>
      </c>
      <c r="H5" s="1">
        <f t="shared" si="1"/>
        <v>600</v>
      </c>
      <c r="I5" s="1">
        <f t="shared" si="1"/>
        <v>500</v>
      </c>
    </row>
    <row r="6" spans="1:9" x14ac:dyDescent="0.25">
      <c r="A6" t="s">
        <v>30</v>
      </c>
      <c r="B6">
        <v>300</v>
      </c>
      <c r="C6">
        <v>350</v>
      </c>
      <c r="D6">
        <v>450</v>
      </c>
      <c r="E6">
        <v>100</v>
      </c>
      <c r="F6">
        <v>50</v>
      </c>
      <c r="G6">
        <v>0</v>
      </c>
      <c r="H6">
        <v>0</v>
      </c>
      <c r="I6">
        <v>0</v>
      </c>
    </row>
    <row r="7" spans="1:9" x14ac:dyDescent="0.25">
      <c r="A7" t="s">
        <v>0</v>
      </c>
      <c r="B7" s="2">
        <f>AVERAGE(B4:B6)</f>
        <v>500</v>
      </c>
      <c r="C7" s="2">
        <f t="shared" ref="C7:I7" si="2">AVERAGE(C4:C6)</f>
        <v>516.66666666666663</v>
      </c>
      <c r="D7" s="2">
        <f t="shared" si="2"/>
        <v>450</v>
      </c>
      <c r="E7" s="2">
        <f t="shared" si="2"/>
        <v>733.33333333333337</v>
      </c>
      <c r="F7" s="2">
        <f t="shared" si="2"/>
        <v>766.66666666666663</v>
      </c>
      <c r="G7" s="2">
        <f t="shared" si="2"/>
        <v>650</v>
      </c>
      <c r="H7" s="2">
        <f t="shared" si="2"/>
        <v>600</v>
      </c>
      <c r="I7" s="2">
        <f t="shared" si="2"/>
        <v>500</v>
      </c>
    </row>
    <row r="22" spans="1:9" x14ac:dyDescent="0.25">
      <c r="A22" t="s">
        <v>1</v>
      </c>
    </row>
    <row r="24" spans="1:9" x14ac:dyDescent="0.25">
      <c r="B24" t="str">
        <f>"Round "&amp;COLUMN(B24)-2</f>
        <v>Round 0</v>
      </c>
      <c r="C24" t="str">
        <f t="shared" ref="C24:I24" si="3">"Round "&amp;COLUMN(C24)-2</f>
        <v>Round 1</v>
      </c>
      <c r="D24" t="str">
        <f t="shared" si="3"/>
        <v>Round 2</v>
      </c>
      <c r="E24" t="str">
        <f t="shared" si="3"/>
        <v>Round 3</v>
      </c>
      <c r="F24" t="str">
        <f t="shared" si="3"/>
        <v>Round 4</v>
      </c>
      <c r="G24" t="str">
        <f t="shared" si="3"/>
        <v>Round 5</v>
      </c>
      <c r="H24" t="str">
        <f t="shared" si="3"/>
        <v>Round 6</v>
      </c>
      <c r="I24" t="str">
        <f t="shared" si="3"/>
        <v>Round 7</v>
      </c>
    </row>
    <row r="25" spans="1:9" x14ac:dyDescent="0.25">
      <c r="A25" t="s">
        <v>34</v>
      </c>
      <c r="B25" s="1">
        <v>1000</v>
      </c>
      <c r="C25" s="1">
        <v>2000</v>
      </c>
      <c r="D25" s="1">
        <v>1500</v>
      </c>
      <c r="E25" s="1">
        <v>2000</v>
      </c>
      <c r="F25" s="1">
        <v>1000</v>
      </c>
      <c r="G25" s="1">
        <v>150</v>
      </c>
      <c r="H25" s="1">
        <v>1000</v>
      </c>
      <c r="I25" s="1">
        <v>1000</v>
      </c>
    </row>
    <row r="26" spans="1:9" x14ac:dyDescent="0.25">
      <c r="A26" t="s">
        <v>33</v>
      </c>
      <c r="B26" s="1">
        <v>5</v>
      </c>
      <c r="C26" s="1">
        <v>5</v>
      </c>
      <c r="D26" s="1">
        <v>5</v>
      </c>
      <c r="E26" s="1">
        <v>6</v>
      </c>
      <c r="F26" s="1">
        <v>6</v>
      </c>
      <c r="G26" s="1">
        <v>6</v>
      </c>
      <c r="H26" s="1">
        <v>7</v>
      </c>
      <c r="I26" s="1">
        <v>7</v>
      </c>
    </row>
    <row r="27" spans="1:9" x14ac:dyDescent="0.25">
      <c r="A27" t="s">
        <v>32</v>
      </c>
      <c r="B27" s="3">
        <v>0.05</v>
      </c>
      <c r="C27" s="3">
        <v>0.1</v>
      </c>
      <c r="D27" s="3">
        <v>0.3</v>
      </c>
      <c r="E27" s="3">
        <v>1.3</v>
      </c>
      <c r="F27" s="3">
        <v>4</v>
      </c>
      <c r="G27" s="3">
        <v>5</v>
      </c>
      <c r="H27" s="3">
        <v>-1</v>
      </c>
      <c r="I27" s="3">
        <v>0</v>
      </c>
    </row>
    <row r="46" spans="1:9" x14ac:dyDescent="0.25">
      <c r="B46" t="str">
        <f>"Round "&amp;COLUMN(B46)-2</f>
        <v>Round 0</v>
      </c>
      <c r="C46" t="str">
        <f t="shared" ref="C46:I46" si="4">"Round "&amp;COLUMN(C46)-2</f>
        <v>Round 1</v>
      </c>
      <c r="D46" t="str">
        <f t="shared" si="4"/>
        <v>Round 2</v>
      </c>
      <c r="E46" t="str">
        <f t="shared" si="4"/>
        <v>Round 3</v>
      </c>
      <c r="F46" t="str">
        <f t="shared" si="4"/>
        <v>Round 4</v>
      </c>
      <c r="G46" t="str">
        <f t="shared" si="4"/>
        <v>Round 5</v>
      </c>
      <c r="H46" t="str">
        <f t="shared" si="4"/>
        <v>Round 6</v>
      </c>
      <c r="I46" t="str">
        <f t="shared" si="4"/>
        <v>Round 7</v>
      </c>
    </row>
    <row r="47" spans="1:9" x14ac:dyDescent="0.25">
      <c r="A47" t="s">
        <v>2</v>
      </c>
      <c r="B47" s="1">
        <v>800</v>
      </c>
      <c r="C47" s="1">
        <v>800</v>
      </c>
      <c r="D47" s="1">
        <v>600</v>
      </c>
      <c r="E47" s="1">
        <v>1400</v>
      </c>
      <c r="F47" s="1">
        <v>1500</v>
      </c>
      <c r="G47">
        <v>300</v>
      </c>
      <c r="H47">
        <v>350</v>
      </c>
      <c r="I47" s="1">
        <v>1000</v>
      </c>
    </row>
    <row r="48" spans="1:9" x14ac:dyDescent="0.25">
      <c r="A48" t="s">
        <v>3</v>
      </c>
      <c r="B48">
        <v>300</v>
      </c>
      <c r="C48">
        <v>350</v>
      </c>
      <c r="D48">
        <v>450</v>
      </c>
      <c r="E48">
        <v>100</v>
      </c>
      <c r="F48" s="1">
        <v>1400</v>
      </c>
      <c r="G48" s="1">
        <v>1500</v>
      </c>
      <c r="H48" s="1">
        <v>1300</v>
      </c>
      <c r="I48" s="1">
        <v>1200</v>
      </c>
    </row>
    <row r="49" spans="1:9" x14ac:dyDescent="0.25">
      <c r="A49" t="s">
        <v>4</v>
      </c>
      <c r="B49">
        <v>300</v>
      </c>
      <c r="C49">
        <v>350</v>
      </c>
      <c r="D49">
        <v>300</v>
      </c>
      <c r="E49">
        <v>350</v>
      </c>
      <c r="F49">
        <v>300</v>
      </c>
      <c r="G49">
        <v>350</v>
      </c>
      <c r="H49">
        <v>300</v>
      </c>
      <c r="I49">
        <v>350</v>
      </c>
    </row>
    <row r="67" spans="1:2" x14ac:dyDescent="0.25">
      <c r="B67" t="str">
        <f>"Round "&amp;COLUMN(B67)-2</f>
        <v>Round 0</v>
      </c>
    </row>
    <row r="68" spans="1:2" x14ac:dyDescent="0.25">
      <c r="A68" t="s">
        <v>2</v>
      </c>
      <c r="B68" s="1">
        <v>800</v>
      </c>
    </row>
    <row r="69" spans="1:2" x14ac:dyDescent="0.25">
      <c r="A69" t="s">
        <v>3</v>
      </c>
      <c r="B69">
        <v>300</v>
      </c>
    </row>
    <row r="70" spans="1:2" x14ac:dyDescent="0.25">
      <c r="A70" t="s">
        <v>4</v>
      </c>
      <c r="B70">
        <v>400</v>
      </c>
    </row>
    <row r="85" spans="1:9" x14ac:dyDescent="0.25">
      <c r="B85" t="str">
        <f>"Round "&amp;COLUMN(B85)-2</f>
        <v>Round 0</v>
      </c>
      <c r="C85" t="str">
        <f t="shared" ref="C85:I85" si="5">"Round "&amp;COLUMN(C85)-2</f>
        <v>Round 1</v>
      </c>
      <c r="D85" t="str">
        <f t="shared" si="5"/>
        <v>Round 2</v>
      </c>
      <c r="E85" t="str">
        <f t="shared" si="5"/>
        <v>Round 3</v>
      </c>
      <c r="F85" t="str">
        <f t="shared" si="5"/>
        <v>Round 4</v>
      </c>
      <c r="G85" t="str">
        <f t="shared" si="5"/>
        <v>Round 5</v>
      </c>
      <c r="H85" t="str">
        <f t="shared" si="5"/>
        <v>Round 6</v>
      </c>
      <c r="I85" t="str">
        <f t="shared" si="5"/>
        <v>Round 7</v>
      </c>
    </row>
    <row r="86" spans="1:9" x14ac:dyDescent="0.25">
      <c r="A86" t="s">
        <v>2</v>
      </c>
      <c r="B86" s="1">
        <v>800</v>
      </c>
      <c r="C86" s="1">
        <v>800</v>
      </c>
      <c r="D86" s="1">
        <v>200</v>
      </c>
      <c r="E86" s="1">
        <v>1400</v>
      </c>
      <c r="F86" s="1">
        <v>1500</v>
      </c>
      <c r="G86">
        <v>300</v>
      </c>
      <c r="H86">
        <v>350</v>
      </c>
      <c r="I86" s="1">
        <v>1000</v>
      </c>
    </row>
    <row r="87" spans="1:9" x14ac:dyDescent="0.25">
      <c r="A87" t="s">
        <v>3</v>
      </c>
      <c r="B87">
        <v>300</v>
      </c>
      <c r="C87">
        <v>350</v>
      </c>
      <c r="D87">
        <v>-100</v>
      </c>
      <c r="E87">
        <v>100</v>
      </c>
      <c r="F87" s="1">
        <v>1400</v>
      </c>
      <c r="G87" s="1">
        <v>500</v>
      </c>
      <c r="H87" s="1">
        <v>1300</v>
      </c>
      <c r="I87" s="1">
        <v>1200</v>
      </c>
    </row>
    <row r="108" spans="2:9" x14ac:dyDescent="0.25">
      <c r="B108" s="4"/>
      <c r="C108" s="4"/>
      <c r="D108" s="4"/>
      <c r="E108" s="4"/>
      <c r="F108" s="4"/>
      <c r="G108" s="4"/>
      <c r="H108" s="4"/>
      <c r="I108" s="4"/>
    </row>
    <row r="109" spans="2:9" x14ac:dyDescent="0.25">
      <c r="F109" s="1"/>
      <c r="G109" s="1"/>
      <c r="H109" s="1"/>
      <c r="I109" s="1"/>
    </row>
  </sheetData>
  <pageMargins left="0.75" right="0.75" top="1" bottom="1" header="0.5" footer="0.5"/>
  <pageSetup orientation="portrait" horizontalDpi="4294967292" verticalDpi="429496729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44A48-3609-CC4A-A47E-CE6D0059D0CB}">
  <dimension ref="I10:S151"/>
  <sheetViews>
    <sheetView zoomScale="135" zoomScaleNormal="135" workbookViewId="0"/>
  </sheetViews>
  <sheetFormatPr defaultColWidth="11" defaultRowHeight="15.75" x14ac:dyDescent="0.25"/>
  <sheetData>
    <row r="10" spans="9:17" x14ac:dyDescent="0.25">
      <c r="J10" s="16">
        <v>42825</v>
      </c>
      <c r="K10" s="16">
        <v>42916</v>
      </c>
      <c r="L10" s="16">
        <v>43008</v>
      </c>
      <c r="M10" s="17">
        <v>43100</v>
      </c>
      <c r="N10" s="17">
        <v>43190</v>
      </c>
      <c r="O10" s="17">
        <v>43281</v>
      </c>
      <c r="P10" s="17">
        <v>43373</v>
      </c>
      <c r="Q10" s="17">
        <v>43465</v>
      </c>
    </row>
    <row r="11" spans="9:17" x14ac:dyDescent="0.25">
      <c r="I11" t="s">
        <v>36</v>
      </c>
      <c r="J11">
        <v>109</v>
      </c>
      <c r="K11">
        <v>110</v>
      </c>
      <c r="L11">
        <v>114</v>
      </c>
      <c r="M11">
        <v>115</v>
      </c>
      <c r="N11">
        <v>120</v>
      </c>
      <c r="O11">
        <v>122</v>
      </c>
      <c r="P11">
        <v>124</v>
      </c>
      <c r="Q11">
        <v>126</v>
      </c>
    </row>
    <row r="34" spans="10:14" x14ac:dyDescent="0.25">
      <c r="K34" t="s">
        <v>38</v>
      </c>
      <c r="L34" t="s">
        <v>39</v>
      </c>
      <c r="M34" t="s">
        <v>40</v>
      </c>
      <c r="N34" t="s">
        <v>41</v>
      </c>
    </row>
    <row r="35" spans="10:14" x14ac:dyDescent="0.25">
      <c r="J35" t="s">
        <v>37</v>
      </c>
      <c r="K35">
        <v>26.8</v>
      </c>
      <c r="L35">
        <v>24.3</v>
      </c>
      <c r="M35">
        <v>12.3</v>
      </c>
      <c r="N35">
        <v>36.6</v>
      </c>
    </row>
    <row r="56" spans="13:19" x14ac:dyDescent="0.25">
      <c r="M56" t="s">
        <v>45</v>
      </c>
    </row>
    <row r="58" spans="13:19" x14ac:dyDescent="0.25">
      <c r="N58" s="18">
        <v>41306</v>
      </c>
      <c r="O58" s="18">
        <v>41670</v>
      </c>
      <c r="P58" s="18">
        <v>42034</v>
      </c>
      <c r="Q58" s="18">
        <v>42398</v>
      </c>
      <c r="R58" s="18">
        <v>42769</v>
      </c>
      <c r="S58" s="18">
        <v>43133</v>
      </c>
    </row>
    <row r="59" spans="13:19" x14ac:dyDescent="0.25">
      <c r="M59" t="s">
        <v>42</v>
      </c>
      <c r="N59">
        <v>100</v>
      </c>
      <c r="O59">
        <v>120</v>
      </c>
      <c r="P59">
        <v>175</v>
      </c>
      <c r="Q59">
        <v>180</v>
      </c>
      <c r="R59">
        <v>200</v>
      </c>
      <c r="S59">
        <v>275</v>
      </c>
    </row>
    <row r="60" spans="13:19" x14ac:dyDescent="0.25">
      <c r="M60" t="s">
        <v>43</v>
      </c>
      <c r="N60">
        <v>100</v>
      </c>
      <c r="O60">
        <v>120</v>
      </c>
      <c r="P60">
        <v>150</v>
      </c>
      <c r="Q60">
        <v>170</v>
      </c>
      <c r="R60">
        <v>190</v>
      </c>
      <c r="S60">
        <v>270</v>
      </c>
    </row>
    <row r="61" spans="13:19" x14ac:dyDescent="0.25">
      <c r="M61" t="s">
        <v>44</v>
      </c>
      <c r="N61">
        <v>100</v>
      </c>
      <c r="O61">
        <v>115</v>
      </c>
      <c r="P61">
        <v>140</v>
      </c>
      <c r="Q61">
        <v>140</v>
      </c>
      <c r="R61">
        <v>150</v>
      </c>
      <c r="S61">
        <v>175</v>
      </c>
    </row>
    <row r="81" spans="14:15" x14ac:dyDescent="0.25">
      <c r="N81" t="s">
        <v>46</v>
      </c>
    </row>
    <row r="82" spans="14:15" x14ac:dyDescent="0.25">
      <c r="O82" t="s">
        <v>47</v>
      </c>
    </row>
    <row r="83" spans="14:15" x14ac:dyDescent="0.25">
      <c r="N83">
        <v>10</v>
      </c>
      <c r="O83" s="19">
        <v>0.52</v>
      </c>
    </row>
    <row r="84" spans="14:15" x14ac:dyDescent="0.25">
      <c r="N84">
        <v>9</v>
      </c>
      <c r="O84" s="20">
        <v>0.495</v>
      </c>
    </row>
    <row r="85" spans="14:15" x14ac:dyDescent="0.25">
      <c r="N85">
        <v>8</v>
      </c>
      <c r="O85" s="20">
        <v>0.505</v>
      </c>
    </row>
    <row r="101" spans="14:15" x14ac:dyDescent="0.25">
      <c r="O101" t="s">
        <v>48</v>
      </c>
    </row>
    <row r="102" spans="14:15" x14ac:dyDescent="0.25">
      <c r="N102" t="s">
        <v>49</v>
      </c>
      <c r="O102">
        <v>0.46</v>
      </c>
    </row>
    <row r="103" spans="14:15" x14ac:dyDescent="0.25">
      <c r="N103" t="s">
        <v>50</v>
      </c>
      <c r="O103">
        <v>0.56999999999999995</v>
      </c>
    </row>
    <row r="104" spans="14:15" x14ac:dyDescent="0.25">
      <c r="N104" t="s">
        <v>51</v>
      </c>
      <c r="O104">
        <v>0.66</v>
      </c>
    </row>
    <row r="123" spans="14:15" x14ac:dyDescent="0.25">
      <c r="N123" t="s">
        <v>52</v>
      </c>
      <c r="O123" t="s">
        <v>53</v>
      </c>
    </row>
    <row r="124" spans="14:15" x14ac:dyDescent="0.25">
      <c r="N124">
        <v>2013</v>
      </c>
      <c r="O124">
        <v>2776</v>
      </c>
    </row>
    <row r="125" spans="14:15" x14ac:dyDescent="0.25">
      <c r="N125">
        <v>2014</v>
      </c>
      <c r="O125">
        <v>2897</v>
      </c>
    </row>
    <row r="126" spans="14:15" x14ac:dyDescent="0.25">
      <c r="N126">
        <v>2015</v>
      </c>
      <c r="O126">
        <v>2972</v>
      </c>
    </row>
    <row r="148" spans="14:16" x14ac:dyDescent="0.25">
      <c r="N148" t="s">
        <v>52</v>
      </c>
      <c r="O148" t="s">
        <v>54</v>
      </c>
      <c r="P148" t="s">
        <v>55</v>
      </c>
    </row>
    <row r="149" spans="14:16" x14ac:dyDescent="0.25">
      <c r="N149">
        <v>2014</v>
      </c>
      <c r="O149">
        <v>68.8</v>
      </c>
      <c r="P149">
        <v>14.9</v>
      </c>
    </row>
    <row r="150" spans="14:16" x14ac:dyDescent="0.25">
      <c r="N150">
        <v>2015</v>
      </c>
      <c r="O150">
        <v>74.5</v>
      </c>
      <c r="P150">
        <v>16</v>
      </c>
    </row>
    <row r="151" spans="14:16" x14ac:dyDescent="0.25">
      <c r="N151">
        <v>2016</v>
      </c>
      <c r="O151">
        <v>80.400000000000006</v>
      </c>
      <c r="P151">
        <v>16.899999999999999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Title</vt:lpstr>
      <vt:lpstr>Six Chart Types</vt:lpstr>
      <vt:lpstr>Lines and Area</vt:lpstr>
      <vt:lpstr>Chart Styling</vt:lpstr>
      <vt:lpstr>Chart Mistakes</vt:lpstr>
      <vt:lpstr>10K Bad Charts</vt:lpstr>
    </vt:vector>
  </TitlesOfParts>
  <Company>Woodbury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Garrett</dc:creator>
  <cp:lastModifiedBy>Nathan Garrett</cp:lastModifiedBy>
  <dcterms:created xsi:type="dcterms:W3CDTF">2013-02-23T01:23:42Z</dcterms:created>
  <dcterms:modified xsi:type="dcterms:W3CDTF">2024-02-08T12:55:53Z</dcterms:modified>
</cp:coreProperties>
</file>